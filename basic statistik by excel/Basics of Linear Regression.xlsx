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J:\projek\excel\"/>
    </mc:Choice>
  </mc:AlternateContent>
  <xr:revisionPtr revIDLastSave="0" documentId="13_ncr:1_{00ACB346-1999-4AF7-8C79-372D57F02DA2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Regression" sheetId="2" r:id="rId1"/>
    <sheet name="Insigh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EE/VkW+s76DzKYbG5Tfl+ayvBfn5y5jrqOaDL70ohTY="/>
    </ext>
  </extLst>
</workbook>
</file>

<file path=xl/calcChain.xml><?xml version="1.0" encoding="utf-8"?>
<calcChain xmlns="http://schemas.openxmlformats.org/spreadsheetml/2006/main">
  <c r="J33" i="2" l="1"/>
  <c r="J32" i="2"/>
  <c r="J31" i="2"/>
  <c r="J30" i="2"/>
  <c r="M7" i="2"/>
  <c r="M6" i="2"/>
  <c r="M5" i="2"/>
  <c r="M4" i="2"/>
</calcChain>
</file>

<file path=xl/sharedStrings.xml><?xml version="1.0" encoding="utf-8"?>
<sst xmlns="http://schemas.openxmlformats.org/spreadsheetml/2006/main" count="40" uniqueCount="34">
  <si>
    <t>Rata-rata harga rumah yang dibangun Perumnas di DKI Jakarta</t>
  </si>
  <si>
    <t>Suku bunga Bank Indonesia</t>
  </si>
  <si>
    <t>Tahun 2008-2017</t>
  </si>
  <si>
    <t>Tahun</t>
  </si>
  <si>
    <t>Rata-rata Harga</t>
  </si>
  <si>
    <t>Suku Bunga BI</t>
  </si>
  <si>
    <t>Konsumsi BBM di Indonesia per tahun, satuan juta Kilo Liter</t>
  </si>
  <si>
    <t>Harga rata-rata minyak mentah dunia</t>
  </si>
  <si>
    <t>Konsumsi BBM (juta KL)</t>
  </si>
  <si>
    <t>Harga (US$)</t>
  </si>
  <si>
    <t>r square</t>
  </si>
  <si>
    <t>r</t>
  </si>
  <si>
    <t>intercept</t>
  </si>
  <si>
    <t>slope</t>
  </si>
  <si>
    <t>INSIGHT</t>
  </si>
  <si>
    <t>1.  Hubungan Harga Rumah vs Suku Bunga Bank Indonesia</t>
  </si>
  <si>
    <t>Koefisien korelasi (r) = -0.178, menunjukkan hubungan sangat lemah dan negatif</t>
  </si>
  <si>
    <t>R square = 0.03%, menunjukkan suku bunga hampir tidak menjelaskan variasi harga rumah</t>
  </si>
  <si>
    <t>Trendline menunjukkan slope sangat kecil, artinya perubahan suku bunga tidak berdampak signifikan pada harga rumah Perumnas</t>
  </si>
  <si>
    <t>Hasil :</t>
  </si>
  <si>
    <t>Kesimpulan:</t>
  </si>
  <si>
    <t>harga rumah Perumnas di DKI Jakarta.  Harga rumah cenderung meningkat konsisten dari tahun ke tahun meskipun suku bunga fluktuatif</t>
  </si>
  <si>
    <t>hal ini menunjukkan bahaw suku bunga bukan faktor utama yang memengaruhi harga rumah.</t>
  </si>
  <si>
    <t>Selama periode 2008-2017, perubahan suku bunga Bank Indonesia tidak memiliki pengaruh signifikan terhadap kenaikan atau penurunan</t>
  </si>
  <si>
    <t>Hasil:</t>
  </si>
  <si>
    <t>2. Konsumsi BBM Indonesia vs Harga Minyak Dunia</t>
  </si>
  <si>
    <t>Koefisien korelasi (r) =0.909, menunjukkan hubungan yang sangat kuat dan positif.</t>
  </si>
  <si>
    <t>R square = 82.78%, menunjukkan konsumsi BBM menjelaskan 82.78% variasi harga minyak dunia</t>
  </si>
  <si>
    <t>Slope positif menunjukkan semakin tinggi konsumsi BBM maka harga minyak dunia cenderung meningkat.</t>
  </si>
  <si>
    <t xml:space="preserve">Analisis menunjukkan adanya korelasi sangat kuat (r=0.909) antara konsumsi BBM Indonesia dan harga minyak dunia pada periode 2016- 2022. </t>
  </si>
  <si>
    <t>kenaikan konsumsi BBM domestik terutama terjadi setelah pemulihan aktivitas ekonomi pasca pandemi COVID-19.</t>
  </si>
  <si>
    <t>pada periode yang sama, harga minyak dunia meningkat akibat pemulihan permintaan energi global, keterbatasan suplai dari OPEC+,</t>
  </si>
  <si>
    <t>dan faktor geopolitik seperti perang Rusia-Ukraina. Fenomena ini menciptakan tren naik yang sejalan antara konsumsi BBM Indonesia</t>
  </si>
  <si>
    <t>dan harga minyak global, yang juga tercermin dalam nilai r square sebesar 0.827 pada model regresi 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</si>
</sst>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0.000000E+00"/>
  </numFmts>
  <fonts count="6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 applyAlignment="1">
      <alignment horizontal="right"/>
    </xf>
    <xf numFmtId="10" fontId="2" fillId="0" borderId="0" xfId="0" applyNumberFormat="1" applyFont="1"/>
    <xf numFmtId="0" fontId="3" fillId="0" borderId="1" xfId="0" applyFont="1" applyBorder="1"/>
    <xf numFmtId="165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10" fontId="2" fillId="0" borderId="1" xfId="0" applyNumberFormat="1" applyFont="1" applyBorder="1"/>
    <xf numFmtId="164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164" fontId="2" fillId="0" borderId="0" xfId="0" applyNumberFormat="1" applyFont="1"/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Regression!$B$5</c:f>
              <c:strCache>
                <c:ptCount val="1"/>
                <c:pt idx="0">
                  <c:v>Rata-rata Harga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dash"/>
              </a:ln>
              <a:effectLst/>
            </c:spPr>
            <c:trendlineType val="linear"/>
            <c:forward val="2"/>
            <c:backward val="2"/>
            <c:dispRSqr val="1"/>
            <c:dispEq val="1"/>
            <c:trendlineLbl>
              <c:layout>
                <c:manualLayout>
                  <c:x val="0.20369709542295225"/>
                  <c:y val="-0.341399101741213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Regression!$B$6:$B$15</c:f>
              <c:numCache>
                <c:formatCode>_(* #,##0_);_(* \(#,##0\);_(* "-"_);_(@_)</c:formatCode>
                <c:ptCount val="10"/>
                <c:pt idx="0">
                  <c:v>77000000</c:v>
                </c:pt>
                <c:pt idx="1">
                  <c:v>119000000</c:v>
                </c:pt>
                <c:pt idx="2">
                  <c:v>108000000</c:v>
                </c:pt>
                <c:pt idx="3">
                  <c:v>180000000</c:v>
                </c:pt>
                <c:pt idx="4">
                  <c:v>259000000</c:v>
                </c:pt>
                <c:pt idx="5">
                  <c:v>333110000</c:v>
                </c:pt>
                <c:pt idx="6">
                  <c:v>359610000</c:v>
                </c:pt>
                <c:pt idx="7">
                  <c:v>351730000</c:v>
                </c:pt>
                <c:pt idx="8">
                  <c:v>387680000</c:v>
                </c:pt>
                <c:pt idx="9">
                  <c:v>214100000</c:v>
                </c:pt>
              </c:numCache>
            </c:numRef>
          </c:xVal>
          <c:yVal>
            <c:numRef>
              <c:f>Regression!$C$6:$C$15</c:f>
              <c:numCache>
                <c:formatCode>0.00%</c:formatCode>
                <c:ptCount val="10"/>
                <c:pt idx="0">
                  <c:v>9.2499999999999999E-2</c:v>
                </c:pt>
                <c:pt idx="1">
                  <c:v>6.5000000000000002E-2</c:v>
                </c:pt>
                <c:pt idx="2">
                  <c:v>6.5000000000000002E-2</c:v>
                </c:pt>
                <c:pt idx="3">
                  <c:v>0.06</c:v>
                </c:pt>
                <c:pt idx="4">
                  <c:v>5.7500000000000002E-2</c:v>
                </c:pt>
                <c:pt idx="5">
                  <c:v>7.4999999999999997E-2</c:v>
                </c:pt>
                <c:pt idx="6">
                  <c:v>7.7499999999999999E-2</c:v>
                </c:pt>
                <c:pt idx="7">
                  <c:v>7.4999999999999997E-2</c:v>
                </c:pt>
                <c:pt idx="8">
                  <c:v>4.7500000000000001E-2</c:v>
                </c:pt>
                <c:pt idx="9">
                  <c:v>4.2500000000000003E-2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4-4A5C-9718-1C1848219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558128"/>
        <c:axId val="61955140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Regression!$C$5</c15:sqref>
                        </c15:formulaRef>
                      </c:ext>
                    </c:extLst>
                    <c:strCache>
                      <c:ptCount val="1"/>
                      <c:pt idx="0">
                        <c:v>Suku Bunga BI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Regression!$A$6:$A$15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2008</c:v>
                      </c:pt>
                      <c:pt idx="1">
                        <c:v>2009</c:v>
                      </c:pt>
                      <c:pt idx="2">
                        <c:v>2010</c:v>
                      </c:pt>
                      <c:pt idx="3">
                        <c:v>2011</c:v>
                      </c:pt>
                      <c:pt idx="4">
                        <c:v>2012</c:v>
                      </c:pt>
                      <c:pt idx="5">
                        <c:v>2013</c:v>
                      </c:pt>
                      <c:pt idx="6">
                        <c:v>2014</c:v>
                      </c:pt>
                      <c:pt idx="7">
                        <c:v>2015</c:v>
                      </c:pt>
                      <c:pt idx="8">
                        <c:v>2016</c:v>
                      </c:pt>
                      <c:pt idx="9">
                        <c:v>2017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Regression!$C$6:$C$15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9.2499999999999999E-2</c:v>
                      </c:pt>
                      <c:pt idx="1">
                        <c:v>6.5000000000000002E-2</c:v>
                      </c:pt>
                      <c:pt idx="2">
                        <c:v>6.5000000000000002E-2</c:v>
                      </c:pt>
                      <c:pt idx="3">
                        <c:v>0.06</c:v>
                      </c:pt>
                      <c:pt idx="4">
                        <c:v>5.7500000000000002E-2</c:v>
                      </c:pt>
                      <c:pt idx="5">
                        <c:v>7.4999999999999997E-2</c:v>
                      </c:pt>
                      <c:pt idx="6">
                        <c:v>7.7499999999999999E-2</c:v>
                      </c:pt>
                      <c:pt idx="7">
                        <c:v>7.4999999999999997E-2</c:v>
                      </c:pt>
                      <c:pt idx="8">
                        <c:v>4.7500000000000001E-2</c:v>
                      </c:pt>
                      <c:pt idx="9">
                        <c:v>4.2500000000000003E-2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D04-4A5C-9718-1C1848219211}"/>
                  </c:ext>
                </c:extLst>
              </c15:ser>
            </c15:filteredScatterSeries>
          </c:ext>
        </c:extLst>
      </c:scatterChart>
      <c:valAx>
        <c:axId val="61955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51408"/>
        <c:crosses val="autoZero"/>
        <c:crossBetween val="midCat"/>
        <c:dispUnits>
          <c:builtInUnit val="millions"/>
          <c:dispUnitsLbl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Juta Rupiah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61955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Suku Bunga 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5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Konsumsi BBM di Indonesia</a:t>
            </a:r>
            <a:r>
              <a:rPr lang="en-ID" baseline="0"/>
              <a:t> - Harga Minyak Dunia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8580390952689709"/>
                  <c:y val="0.666164644421541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Regression!$B$21:$B$27</c:f>
              <c:numCache>
                <c:formatCode>General</c:formatCode>
                <c:ptCount val="7"/>
                <c:pt idx="0">
                  <c:v>5.8</c:v>
                </c:pt>
                <c:pt idx="1">
                  <c:v>14.5</c:v>
                </c:pt>
                <c:pt idx="2">
                  <c:v>17.7</c:v>
                </c:pt>
                <c:pt idx="3">
                  <c:v>19.399999999999999</c:v>
                </c:pt>
                <c:pt idx="4">
                  <c:v>18.100000000000001</c:v>
                </c:pt>
                <c:pt idx="5">
                  <c:v>23.3</c:v>
                </c:pt>
                <c:pt idx="6">
                  <c:v>29.7</c:v>
                </c:pt>
              </c:numCache>
            </c:numRef>
          </c:xVal>
          <c:yVal>
            <c:numRef>
              <c:f>Regression!$C$21:$C$27</c:f>
              <c:numCache>
                <c:formatCode>General</c:formatCode>
                <c:ptCount val="7"/>
                <c:pt idx="0">
                  <c:v>43.58</c:v>
                </c:pt>
                <c:pt idx="1">
                  <c:v>50.84</c:v>
                </c:pt>
                <c:pt idx="2">
                  <c:v>64.900000000000006</c:v>
                </c:pt>
                <c:pt idx="3">
                  <c:v>57.05</c:v>
                </c:pt>
                <c:pt idx="4">
                  <c:v>52.77</c:v>
                </c:pt>
                <c:pt idx="5">
                  <c:v>69.25</c:v>
                </c:pt>
                <c:pt idx="6">
                  <c:v>92.93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3-4D35-B553-8324ACE30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463824"/>
        <c:axId val="269476304"/>
      </c:scatterChart>
      <c:valAx>
        <c:axId val="26946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Konsumsi BBM (Juta KL)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76304"/>
        <c:crosses val="autoZero"/>
        <c:crossBetween val="midCat"/>
      </c:valAx>
      <c:valAx>
        <c:axId val="2694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Harga MInyak Mentah (US$)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6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354106</xdr:colOff>
      <xdr:row>2</xdr:row>
      <xdr:rowOff>123824</xdr:rowOff>
    </xdr:from>
    <xdr:to>
      <xdr:col>10</xdr:col>
      <xdr:colOff>683557</xdr:colOff>
      <xdr:row>17</xdr:row>
      <xdr:rowOff>11205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C3CDA3-F7FD-8263-BB61-3AE4662C2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61416</xdr:colOff>
      <xdr:row>29</xdr:row>
      <xdr:rowOff>21162</xdr:rowOff>
    </xdr:from>
    <xdr:to>
      <xdr:col>6</xdr:col>
      <xdr:colOff>1062404</xdr:colOff>
      <xdr:row>45</xdr:row>
      <xdr:rowOff>73270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8AD63E-A84B-4497-D27E-B3891D5D0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zoomScale="75" zoomScaleNormal="100" workbookViewId="0">
      <selection activeCell="D47" sqref="D47"/>
    </sheetView>
  </sheetViews>
  <sheetFormatPr defaultColWidth="11.25" defaultRowHeight="15" customHeight="1" x14ac:dyDescent="0.25"/>
  <cols>
    <col min="1" max="1" width="6.125" customWidth="1"/>
    <col min="2" max="2" width="21.5" customWidth="1"/>
    <col min="3" max="3" width="12.75" customWidth="1"/>
    <col min="4" max="6" width="10.5" customWidth="1"/>
    <col min="7" max="7" width="16.125" customWidth="1"/>
    <col min="8" max="26" width="10.5" customWidth="1"/>
  </cols>
  <sheetData>
    <row r="1" spans="1:13" ht="15.75" customHeight="1" x14ac:dyDescent="0.25">
      <c r="A1" s="1" t="s">
        <v>0</v>
      </c>
    </row>
    <row r="2" spans="1:13" ht="15.75" customHeight="1" x14ac:dyDescent="0.25">
      <c r="A2" s="1" t="s">
        <v>1</v>
      </c>
      <c r="B2" s="2"/>
      <c r="C2" s="3"/>
    </row>
    <row r="3" spans="1:13" ht="15.75" customHeight="1" x14ac:dyDescent="0.25">
      <c r="A3" s="1" t="s">
        <v>2</v>
      </c>
      <c r="B3" s="2"/>
      <c r="C3" s="3"/>
    </row>
    <row r="4" spans="1:13" ht="15.75" customHeight="1" x14ac:dyDescent="0.25">
      <c r="B4" s="2"/>
      <c r="C4" s="3"/>
      <c r="L4" t="s">
        <v>11</v>
      </c>
      <c r="M4">
        <f>CORREL(C6:C15,B6:B15)</f>
        <v>-0.17871138891357116</v>
      </c>
    </row>
    <row r="5" spans="1:13" ht="15.75" customHeight="1" x14ac:dyDescent="0.25">
      <c r="A5" s="4" t="s">
        <v>3</v>
      </c>
      <c r="B5" s="4" t="s">
        <v>4</v>
      </c>
      <c r="C5" s="4" t="s">
        <v>5</v>
      </c>
      <c r="G5" s="5"/>
      <c r="L5" t="s">
        <v>10</v>
      </c>
      <c r="M5">
        <f>POWER(M4,2)</f>
        <v>3.1937760527417688E-2</v>
      </c>
    </row>
    <row r="6" spans="1:13" ht="15.75" customHeight="1" x14ac:dyDescent="0.25">
      <c r="A6" s="6">
        <v>2008</v>
      </c>
      <c r="B6" s="7">
        <v>77000000</v>
      </c>
      <c r="C6" s="8">
        <v>9.2499999999999999E-2</v>
      </c>
      <c r="L6" t="s">
        <v>12</v>
      </c>
      <c r="M6">
        <f>INTERCEPT(C6:C15,B6:B15)</f>
        <v>7.1251203234524274E-2</v>
      </c>
    </row>
    <row r="7" spans="1:13" ht="15.75" customHeight="1" x14ac:dyDescent="0.25">
      <c r="A7" s="6">
        <v>2009</v>
      </c>
      <c r="B7" s="7">
        <v>119000000</v>
      </c>
      <c r="C7" s="8">
        <v>6.5000000000000002E-2</v>
      </c>
      <c r="L7" t="s">
        <v>13</v>
      </c>
      <c r="M7">
        <f>SLOPE(C6:C15,B6:B15)</f>
        <v>-2.3025004853129529E-11</v>
      </c>
    </row>
    <row r="8" spans="1:13" ht="15.75" customHeight="1" x14ac:dyDescent="0.25">
      <c r="A8" s="6">
        <v>2010</v>
      </c>
      <c r="B8" s="7">
        <v>108000000</v>
      </c>
      <c r="C8" s="8">
        <v>6.5000000000000002E-2</v>
      </c>
    </row>
    <row r="9" spans="1:13" ht="15.75" customHeight="1" x14ac:dyDescent="0.25">
      <c r="A9" s="6">
        <v>2011</v>
      </c>
      <c r="B9" s="7">
        <v>180000000</v>
      </c>
      <c r="C9" s="8">
        <v>0.06</v>
      </c>
    </row>
    <row r="10" spans="1:13" ht="15.75" customHeight="1" x14ac:dyDescent="0.25">
      <c r="A10" s="6">
        <v>2012</v>
      </c>
      <c r="B10" s="7">
        <v>259000000</v>
      </c>
      <c r="C10" s="8">
        <v>5.7500000000000002E-2</v>
      </c>
    </row>
    <row r="11" spans="1:13" ht="15.75" customHeight="1" x14ac:dyDescent="0.25">
      <c r="A11" s="6">
        <v>2013</v>
      </c>
      <c r="B11" s="7">
        <v>333110000</v>
      </c>
      <c r="C11" s="8">
        <v>7.4999999999999997E-2</v>
      </c>
    </row>
    <row r="12" spans="1:13" ht="15.75" customHeight="1" x14ac:dyDescent="0.25">
      <c r="A12" s="6">
        <v>2014</v>
      </c>
      <c r="B12" s="7">
        <v>359610000</v>
      </c>
      <c r="C12" s="8">
        <v>7.7499999999999999E-2</v>
      </c>
    </row>
    <row r="13" spans="1:13" ht="15.75" customHeight="1" x14ac:dyDescent="0.25">
      <c r="A13" s="6">
        <v>2015</v>
      </c>
      <c r="B13" s="7">
        <v>351730000</v>
      </c>
      <c r="C13" s="8">
        <v>7.4999999999999997E-2</v>
      </c>
    </row>
    <row r="14" spans="1:13" ht="15.75" customHeight="1" x14ac:dyDescent="0.25">
      <c r="A14" s="6">
        <v>2016</v>
      </c>
      <c r="B14" s="9">
        <v>387680000</v>
      </c>
      <c r="C14" s="8">
        <v>4.7500000000000001E-2</v>
      </c>
    </row>
    <row r="15" spans="1:13" ht="15.75" customHeight="1" x14ac:dyDescent="0.25">
      <c r="A15" s="6">
        <v>2017</v>
      </c>
      <c r="B15" s="9">
        <v>214100000</v>
      </c>
      <c r="C15" s="8">
        <v>4.2500000000000003E-2</v>
      </c>
    </row>
    <row r="16" spans="1:13" ht="15.75" customHeight="1" x14ac:dyDescent="0.25"/>
    <row r="17" spans="1:10" ht="15.75" customHeight="1" x14ac:dyDescent="0.25">
      <c r="A17" s="1" t="s">
        <v>6</v>
      </c>
    </row>
    <row r="18" spans="1:10" ht="15.75" customHeight="1" x14ac:dyDescent="0.25">
      <c r="A18" s="1" t="s">
        <v>7</v>
      </c>
    </row>
    <row r="19" spans="1:10" ht="15.75" customHeight="1" x14ac:dyDescent="0.25"/>
    <row r="20" spans="1:10" ht="15.75" customHeight="1" x14ac:dyDescent="0.25">
      <c r="A20" s="10" t="s">
        <v>3</v>
      </c>
      <c r="B20" s="10" t="s">
        <v>8</v>
      </c>
      <c r="C20" s="10" t="s">
        <v>9</v>
      </c>
    </row>
    <row r="21" spans="1:10" ht="15.75" customHeight="1" x14ac:dyDescent="0.25">
      <c r="A21" s="6">
        <v>2016</v>
      </c>
      <c r="B21" s="6">
        <v>5.8</v>
      </c>
      <c r="C21" s="6">
        <v>43.58</v>
      </c>
    </row>
    <row r="22" spans="1:10" ht="15.75" customHeight="1" x14ac:dyDescent="0.25">
      <c r="A22" s="6">
        <v>2017</v>
      </c>
      <c r="B22" s="6">
        <v>14.5</v>
      </c>
      <c r="C22" s="6">
        <v>50.84</v>
      </c>
    </row>
    <row r="23" spans="1:10" ht="15.75" customHeight="1" x14ac:dyDescent="0.25">
      <c r="A23" s="6">
        <v>2018</v>
      </c>
      <c r="B23" s="6">
        <v>17.7</v>
      </c>
      <c r="C23" s="6">
        <v>64.900000000000006</v>
      </c>
    </row>
    <row r="24" spans="1:10" ht="15.75" customHeight="1" x14ac:dyDescent="0.25">
      <c r="A24" s="6">
        <v>2019</v>
      </c>
      <c r="B24" s="6">
        <v>19.399999999999999</v>
      </c>
      <c r="C24" s="6">
        <v>57.05</v>
      </c>
    </row>
    <row r="25" spans="1:10" ht="15.75" customHeight="1" x14ac:dyDescent="0.25">
      <c r="A25" s="6">
        <v>2020</v>
      </c>
      <c r="B25" s="6">
        <v>18.100000000000001</v>
      </c>
      <c r="C25" s="6">
        <v>52.77</v>
      </c>
    </row>
    <row r="26" spans="1:10" ht="15.75" customHeight="1" x14ac:dyDescent="0.25">
      <c r="A26" s="6">
        <v>2021</v>
      </c>
      <c r="B26" s="6">
        <v>23.3</v>
      </c>
      <c r="C26" s="6">
        <v>69.25</v>
      </c>
    </row>
    <row r="27" spans="1:10" ht="15.75" customHeight="1" x14ac:dyDescent="0.25">
      <c r="A27" s="6">
        <v>2022</v>
      </c>
      <c r="B27" s="6">
        <v>29.7</v>
      </c>
      <c r="C27" s="6">
        <v>92.93</v>
      </c>
    </row>
    <row r="28" spans="1:10" ht="15.75" customHeight="1" x14ac:dyDescent="0.25">
      <c r="B28" s="11"/>
      <c r="C28" s="3"/>
    </row>
    <row r="29" spans="1:10" ht="15.75" customHeight="1" x14ac:dyDescent="0.25"/>
    <row r="30" spans="1:10" ht="15.75" customHeight="1" x14ac:dyDescent="0.25">
      <c r="I30" t="s">
        <v>11</v>
      </c>
      <c r="J30">
        <f>CORREL(C21:C27,B21:B27)</f>
        <v>0.9098466678153776</v>
      </c>
    </row>
    <row r="31" spans="1:10" ht="15.75" customHeight="1" x14ac:dyDescent="0.25">
      <c r="I31" t="s">
        <v>10</v>
      </c>
      <c r="J31">
        <f>POWER(J30,2)</f>
        <v>0.82782095893474605</v>
      </c>
    </row>
    <row r="32" spans="1:10" ht="15.75" customHeight="1" x14ac:dyDescent="0.25">
      <c r="I32" t="s">
        <v>12</v>
      </c>
      <c r="J32">
        <f>INTERCEPT(C21:C27,B21:B27)</f>
        <v>24.799085023530331</v>
      </c>
    </row>
    <row r="33" spans="9:10" ht="15.75" customHeight="1" x14ac:dyDescent="0.25">
      <c r="I33" t="s">
        <v>13</v>
      </c>
      <c r="J33">
        <f>SLOPE(C21:C27,B21:B27)</f>
        <v>2.0056529559166356</v>
      </c>
    </row>
    <row r="34" spans="9:10" ht="15.75" customHeight="1" x14ac:dyDescent="0.25"/>
    <row r="35" spans="9:10" ht="15.75" customHeight="1" x14ac:dyDescent="0.25"/>
    <row r="36" spans="9:10" ht="15.75" customHeight="1" x14ac:dyDescent="0.25"/>
    <row r="37" spans="9:10" ht="15.75" customHeight="1" x14ac:dyDescent="0.25"/>
    <row r="38" spans="9:10" ht="15.75" customHeight="1" x14ac:dyDescent="0.25"/>
    <row r="39" spans="9:10" ht="15.75" customHeight="1" x14ac:dyDescent="0.25"/>
    <row r="40" spans="9:10" ht="15.75" customHeight="1" x14ac:dyDescent="0.25"/>
    <row r="41" spans="9:10" ht="15.75" customHeight="1" x14ac:dyDescent="0.25"/>
    <row r="42" spans="9:10" ht="15.75" customHeight="1" x14ac:dyDescent="0.25"/>
    <row r="43" spans="9:10" ht="15.75" customHeight="1" x14ac:dyDescent="0.25"/>
    <row r="44" spans="9:10" ht="15.75" customHeight="1" x14ac:dyDescent="0.25"/>
    <row r="45" spans="9:10" ht="15.75" customHeight="1" x14ac:dyDescent="0.25"/>
    <row r="46" spans="9:10" ht="15.75" customHeight="1" x14ac:dyDescent="0.25"/>
    <row r="47" spans="9:10" ht="15.75" customHeight="1" x14ac:dyDescent="0.25"/>
    <row r="48" spans="9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976B-76C4-4349-AFF6-F5C1476A00B2}">
  <dimension ref="B2:B26"/>
  <sheetViews>
    <sheetView workbookViewId="0">
      <selection activeCell="E31" sqref="E31"/>
    </sheetView>
  </sheetViews>
  <sheetFormatPr defaultRowHeight="15.75" x14ac:dyDescent="0.25"/>
  <cols>
    <col min="1" max="16384" width="9" style="13"/>
  </cols>
  <sheetData>
    <row r="2" spans="2:2" x14ac:dyDescent="0.25">
      <c r="B2" s="12" t="s">
        <v>14</v>
      </c>
    </row>
    <row r="3" spans="2:2" x14ac:dyDescent="0.25">
      <c r="B3" s="13" t="s">
        <v>15</v>
      </c>
    </row>
    <row r="4" spans="2:2" x14ac:dyDescent="0.25">
      <c r="B4" s="13" t="s">
        <v>24</v>
      </c>
    </row>
    <row r="5" spans="2:2" x14ac:dyDescent="0.25">
      <c r="B5" s="13" t="s">
        <v>16</v>
      </c>
    </row>
    <row r="6" spans="2:2" x14ac:dyDescent="0.25">
      <c r="B6" s="13" t="s">
        <v>17</v>
      </c>
    </row>
    <row r="7" spans="2:2" x14ac:dyDescent="0.25">
      <c r="B7" s="13" t="s">
        <v>18</v>
      </c>
    </row>
    <row r="9" spans="2:2" x14ac:dyDescent="0.25">
      <c r="B9" s="13" t="s">
        <v>20</v>
      </c>
    </row>
    <row r="10" spans="2:2" x14ac:dyDescent="0.25">
      <c r="B10" s="13" t="s">
        <v>23</v>
      </c>
    </row>
    <row r="11" spans="2:2" x14ac:dyDescent="0.25">
      <c r="B11" s="13" t="s">
        <v>21</v>
      </c>
    </row>
    <row r="12" spans="2:2" x14ac:dyDescent="0.25">
      <c r="B12" s="13" t="s">
        <v>22</v>
      </c>
    </row>
    <row r="15" spans="2:2" x14ac:dyDescent="0.25">
      <c r="B15" s="13" t="s">
        <v>25</v>
      </c>
    </row>
    <row r="16" spans="2:2" x14ac:dyDescent="0.25">
      <c r="B16" s="13" t="s">
        <v>19</v>
      </c>
    </row>
    <row r="17" spans="2:2" x14ac:dyDescent="0.25">
      <c r="B17" s="13" t="s">
        <v>26</v>
      </c>
    </row>
    <row r="18" spans="2:2" x14ac:dyDescent="0.25">
      <c r="B18" s="13" t="s">
        <v>27</v>
      </c>
    </row>
    <row r="19" spans="2:2" x14ac:dyDescent="0.25">
      <c r="B19" s="13" t="s">
        <v>28</v>
      </c>
    </row>
    <row r="21" spans="2:2" x14ac:dyDescent="0.25">
      <c r="B21" s="13" t="s">
        <v>20</v>
      </c>
    </row>
    <row r="22" spans="2:2" x14ac:dyDescent="0.25">
      <c r="B22" s="13" t="s">
        <v>29</v>
      </c>
    </row>
    <row r="23" spans="2:2" x14ac:dyDescent="0.25">
      <c r="B23" s="13" t="s">
        <v>30</v>
      </c>
    </row>
    <row r="24" spans="2:2" x14ac:dyDescent="0.25">
      <c r="B24" s="13" t="s">
        <v>31</v>
      </c>
    </row>
    <row r="25" spans="2:2" x14ac:dyDescent="0.25">
      <c r="B25" s="13" t="s">
        <v>32</v>
      </c>
    </row>
    <row r="26" spans="2:2" x14ac:dyDescent="0.25">
      <c r="B26" s="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</dc:creator>
  <cp:lastModifiedBy>Siti Nur Aisyah</cp:lastModifiedBy>
  <dcterms:created xsi:type="dcterms:W3CDTF">2023-11-09T16:35:20Z</dcterms:created>
  <dcterms:modified xsi:type="dcterms:W3CDTF">2025-11-29T12:24:01Z</dcterms:modified>
</cp:coreProperties>
</file>