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J:\projek\excel\"/>
    </mc:Choice>
  </mc:AlternateContent>
  <xr:revisionPtr revIDLastSave="0" documentId="13_ncr:1_{399E12A3-9CAE-46ED-8A35-CB02CF3577B5}" xr6:coauthVersionLast="47" xr6:coauthVersionMax="47" xr10:uidLastSave="{00000000-0000-0000-0000-000000000000}"/>
  <bookViews>
    <workbookView xWindow="14400" yWindow="0" windowWidth="14400" windowHeight="15600" activeTab="2" xr2:uid="{00000000-000D-0000-FFFF-FFFF00000000}"/>
  </bookViews>
  <sheets>
    <sheet name="Time Series" sheetId="1" r:id="rId1"/>
    <sheet name="Pivot Chart" sheetId="4" r:id="rId2"/>
    <sheet name="Insight &amp; Recommendation" sheetId="5" r:id="rId3"/>
    <sheet name="Pivot Table 1" sheetId="2" state="hidden" r:id="rId4"/>
  </sheets>
  <definedNames>
    <definedName name="_xlcn.WorksheetConnection_TimeSeriesA1C731" hidden="1">'Time Series'!$A$1:$C$73</definedName>
  </definedNames>
  <calcPr calcId="0"/>
  <pivotCaches>
    <pivotCache cacheId="7" r:id="rId5"/>
    <pivotCache cacheId="124" r:id="rId6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Time Series!$A$1:$C$73"/>
        </x15:modelTables>
        <x15:extLst>
          <ext xmlns:x16="http://schemas.microsoft.com/office/spreadsheetml/2014/11/main" uri="{9835A34E-60A6-4A7C-AAB8-D5F71C897F49}">
            <x16:modelTimeGroupings>
              <x16:modelTimeGrouping tableName="Range" columnName="Tahun" columnId="Tahun">
                <x16:calculatedTimeColumn columnName="Tahun (Year)" columnId="Tahun (Year)" contentType="years" isSelected="1"/>
                <x16:calculatedTimeColumn columnName="Tahun (Quarter)" columnId="Tahun (Quarter)" contentType="quarters" isSelected="1"/>
                <x16:calculatedTimeColumn columnName="Tahun (Month Index)" columnId="Tahun (Month Index)" contentType="monthsindex" isSelected="1"/>
                <x16:calculatedTimeColumn columnName="Tahun (Month)" columnId="Tahun (Month)" contentType="months" isSelected="1"/>
              </x16:modelTimeGrouping>
            </x16:modelTimeGroupings>
          </ext>
        </x15:extLst>
      </x15:dataModel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8" roundtripDataChecksum="VVQRTxDtmLFId07HFvjKhVjhIFnIRSb8AtsvVq9yukg=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4161F55-B6F3-4342-9FCB-729EC3964FD2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EDAAB646-99E9-440E-BBF2-0945FF1A4621}" name="WorksheetConnection_Time Series!$A$1:$C$73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TimeSeriesA1C731"/>
        </x15:connection>
      </ext>
    </extLst>
  </connection>
</connections>
</file>

<file path=xl/sharedStrings.xml><?xml version="1.0" encoding="utf-8"?>
<sst xmlns="http://schemas.openxmlformats.org/spreadsheetml/2006/main" count="150" uniqueCount="62">
  <si>
    <t>Tahun</t>
  </si>
  <si>
    <t>Jenis</t>
  </si>
  <si>
    <t>Daya</t>
  </si>
  <si>
    <t>Kapasitas Terpasang PLN menurut Jenis Pembangkit Listrik (MW)</t>
  </si>
  <si>
    <t>Tenaga Air</t>
  </si>
  <si>
    <t>Jenis Pembangkit Listrik</t>
  </si>
  <si>
    <t>Tenaga Uap</t>
  </si>
  <si>
    <t>Tenaga Gas</t>
  </si>
  <si>
    <t>Tenaga Gas Uap</t>
  </si>
  <si>
    <t>Tenaga Panas Bumi</t>
  </si>
  <si>
    <t>Tenaga Diesel</t>
  </si>
  <si>
    <t>Total Kapasitas Terpasang</t>
  </si>
  <si>
    <t>SUM of Daya</t>
  </si>
  <si>
    <t>Grand Total</t>
  </si>
  <si>
    <t>2009</t>
  </si>
  <si>
    <t>2010</t>
  </si>
  <si>
    <t>2011</t>
  </si>
  <si>
    <t>2012</t>
  </si>
  <si>
    <t>2013</t>
  </si>
  <si>
    <t>2014</t>
  </si>
  <si>
    <t>2015</t>
  </si>
  <si>
    <t>2017</t>
  </si>
  <si>
    <t>2018</t>
  </si>
  <si>
    <t>2019</t>
  </si>
  <si>
    <t>2020</t>
  </si>
  <si>
    <t>2021</t>
  </si>
  <si>
    <t>Sum of Daya</t>
  </si>
  <si>
    <t>Tahun (Year)</t>
  </si>
  <si>
    <t>INSIGHT</t>
  </si>
  <si>
    <t>1. Dari seluruh jenis tenaga pembangkit, Tenaga uap (PLTU) menunjukkan pertumbuhan paling signifikan.</t>
  </si>
  <si>
    <t>peningkatan berlangsung secara konsisten dari tahun 2009 hingga 2021, menandakan tingginya ketergantungan terhadap PLTU</t>
  </si>
  <si>
    <t>sehingga dapat dikatakan bahwa PLTU menjadi kontributor terbesar terhadao pasokan listrik nasional</t>
  </si>
  <si>
    <t>2. Tenaga Gas Uap (PLTGU) mengalami pertumbuhan stabil dan menjadi penopang kedua.</t>
  </si>
  <si>
    <t xml:space="preserve">tren tenaga gas uap terus meningkat dari tahun ke tahun, pertumbuhannya stabil dan relatif tidak fluktuatif. </t>
  </si>
  <si>
    <t>sehingga PLTGU ini dapat menjadi alternatif penting untuk memastikan kontinuitas pasokan listrik karena relatif lebih bersih daripada PLTU</t>
  </si>
  <si>
    <t xml:space="preserve">grafik menunjukkan tren naik setiap tahun, meskipun skalanya tidak sebesar PLTU/PLTGU. </t>
  </si>
  <si>
    <t>3. Tenaga Panas Bumi (Geothermal) mengalami pertumbuhan positif sebagai energi terbarukan.</t>
  </si>
  <si>
    <t>hal ini menandakan potensi besar energi terbarukan di Indonesia.</t>
  </si>
  <si>
    <t>Implikasi : perlu investasi lebih besar karena tren sudah menunjukkan bahwa geothermal stabil dan reliable.</t>
  </si>
  <si>
    <t>Implikasi : Saat ini Indonesia masih sangat bergantung pada energi berbasis batubara.</t>
  </si>
  <si>
    <t>Implikasi : PLTGU dapat menjadi alternatif yang efekttif karena relatif lebih bersih daripada PLTU</t>
  </si>
  <si>
    <t>4. Tenaga Diesel mengalami fluktuasi sejak 2013 dan mengalami puncak di tahun 201, lalu cenderung menurun.</t>
  </si>
  <si>
    <t>penurunan ini sejalan dengan arah kebijakan pengurangan penggunaan BBM yang mahal dan tidak efisien.</t>
  </si>
  <si>
    <t>Implikasi : Diesel hanya digunakan sebagai pembangkit back-up atau untuk wilayah terpencil saja.</t>
  </si>
  <si>
    <t>5.  Tenaga Air menunjukkan grafik yang relatif stagnan, dengan kenaikan kecil tetapi tidak signifikan.</t>
  </si>
  <si>
    <t>hal ini dikarenakan potensi PLTA yang besar belum dioptimalkan secara maksimal.</t>
  </si>
  <si>
    <t>Implikasi: terdapat kendala dalam pengembangan infrastruktur di wilayah potensial</t>
  </si>
  <si>
    <t>6. Tenaga Gas mengalami pertumbuhan namun tidak konsisten. Gas memiliki tren naik, namun terdapat beberapa tahun yang mengalami stagnasi.</t>
  </si>
  <si>
    <t>hal ini disebabkan oleh biaya operasional atau supply gas yang tidak selalu stabil.</t>
  </si>
  <si>
    <t>Implikasi: Gas masih menjadi sumber penting tapi perlu edisiensi distribusi</t>
  </si>
  <si>
    <t>RECOMMENDATIONS</t>
  </si>
  <si>
    <t>1. fokus investasi pada PLTGU dan Geothermal sebagai energi transisi.</t>
  </si>
  <si>
    <t>karena PLTGU stabil dan relatif lebih ramah lingkungan dibanding PLTU</t>
  </si>
  <si>
    <t>serta panas bumi terus meningkat sehingga potensi sangat besar untuk jangka panjang.</t>
  </si>
  <si>
    <t>2. kurangi ketergantungan PLTU secara bertahap</t>
  </si>
  <si>
    <t>alihkan sebagian kapasitus PLTU ke: PLTGU, PLTA, dan Geothermal</t>
  </si>
  <si>
    <t>3. optimalkan pembangunan PLTA di wilayah potensial.</t>
  </si>
  <si>
    <t>stagnasi produksi PLTA menunjukkan kurangnya ekspansi sehingga kembangkan PLTA dia area sungai besar (Kalimantan, Papua, Sumatera).</t>
  </si>
  <si>
    <t>fokus pada program multi-purpose (irigasi+listrik)</t>
  </si>
  <si>
    <t>4. diesel hanya untuk back-up dan digunakan di daerah terpencil</t>
  </si>
  <si>
    <t>5. tingkatkan infrastruktur distribusi gas</t>
  </si>
  <si>
    <t>karena gas sangat potensial tetapi terhambat oleh distribusi maka dapat dilakukan ekspansi jaringan pipa gas dan optimasi LNG/mini LNG untuk wilayah non-pipa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</si>
</sst>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_);_(* \(#,##0\);_(* &quot;-&quot;_);_(@_)"/>
    <numFmt numFmtId="165" formatCode="_(&quot;Rp&quot;* #,##0_);_(&quot;Rp&quot;* \(#,##0\);_(&quot;Rp&quot;* &quot;-&quot;_);_(@_)"/>
    <numFmt numFmtId="166" formatCode="0.0%"/>
  </numFmts>
  <fonts count="6" x14ac:knownFonts="1">
    <font>
      <sz val="12"/>
      <color theme="1"/>
      <name val="Calibri"/>
      <scheme val="minor"/>
    </font>
    <font>
      <sz val="12"/>
      <color theme="1"/>
      <name val="Calibri"/>
      <scheme val="minor"/>
    </font>
    <font>
      <b/>
      <sz val="12"/>
      <color theme="1"/>
      <name val="Calibri"/>
    </font>
    <font>
      <sz val="12"/>
      <color theme="1"/>
      <name val="Calibri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32">
    <xf numFmtId="0" fontId="0" fillId="0" borderId="0" xfId="0" applyFont="1" applyAlignment="1"/>
    <xf numFmtId="0" fontId="1" fillId="0" borderId="0" xfId="0" applyFont="1"/>
    <xf numFmtId="15" fontId="3" fillId="0" borderId="0" xfId="0" applyNumberFormat="1" applyFont="1"/>
    <xf numFmtId="0" fontId="1" fillId="2" borderId="1" xfId="0" applyFont="1" applyFill="1" applyBorder="1"/>
    <xf numFmtId="0" fontId="3" fillId="2" borderId="1" xfId="0" applyFont="1" applyFill="1" applyBorder="1" applyAlignment="1">
      <alignment horizontal="right"/>
    </xf>
    <xf numFmtId="0" fontId="1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0" xfId="0" applyNumberFormat="1" applyFont="1"/>
    <xf numFmtId="166" fontId="3" fillId="0" borderId="0" xfId="0" applyNumberFormat="1" applyFont="1"/>
    <xf numFmtId="0" fontId="2" fillId="0" borderId="0" xfId="0" applyFont="1" applyAlignment="1">
      <alignment horizontal="center"/>
    </xf>
    <xf numFmtId="0" fontId="0" fillId="0" borderId="0" xfId="0" applyFont="1" applyAlignment="1"/>
    <xf numFmtId="0" fontId="0" fillId="0" borderId="2" xfId="0" pivotButton="1" applyFont="1" applyBorder="1" applyAlignment="1"/>
    <xf numFmtId="0" fontId="0" fillId="0" borderId="3" xfId="0" applyFont="1" applyBorder="1" applyAlignment="1"/>
    <xf numFmtId="0" fontId="0" fillId="0" borderId="4" xfId="0" applyFont="1" applyBorder="1" applyAlignment="1"/>
    <xf numFmtId="15" fontId="0" fillId="0" borderId="2" xfId="0" applyNumberFormat="1" applyFont="1" applyBorder="1" applyAlignment="1"/>
    <xf numFmtId="15" fontId="0" fillId="0" borderId="5" xfId="0" applyNumberFormat="1" applyFont="1" applyBorder="1" applyAlignment="1"/>
    <xf numFmtId="15" fontId="0" fillId="0" borderId="6" xfId="0" applyNumberFormat="1" applyFont="1" applyBorder="1" applyAlignment="1"/>
    <xf numFmtId="0" fontId="0" fillId="0" borderId="2" xfId="0" applyFont="1" applyBorder="1" applyAlignment="1"/>
    <xf numFmtId="0" fontId="0" fillId="0" borderId="2" xfId="0" applyNumberFormat="1" applyFont="1" applyBorder="1" applyAlignment="1"/>
    <xf numFmtId="0" fontId="0" fillId="0" borderId="5" xfId="0" applyNumberFormat="1" applyFont="1" applyBorder="1" applyAlignment="1"/>
    <xf numFmtId="0" fontId="0" fillId="0" borderId="6" xfId="0" applyNumberFormat="1" applyFont="1" applyBorder="1" applyAlignment="1"/>
    <xf numFmtId="0" fontId="0" fillId="0" borderId="7" xfId="0" applyFont="1" applyBorder="1" applyAlignment="1"/>
    <xf numFmtId="0" fontId="0" fillId="0" borderId="7" xfId="0" applyNumberFormat="1" applyFont="1" applyBorder="1" applyAlignment="1"/>
    <xf numFmtId="0" fontId="0" fillId="0" borderId="0" xfId="0" applyNumberFormat="1" applyFont="1" applyAlignment="1"/>
    <xf numFmtId="0" fontId="0" fillId="0" borderId="8" xfId="0" applyNumberFormat="1" applyFont="1" applyBorder="1" applyAlignment="1"/>
    <xf numFmtId="0" fontId="0" fillId="0" borderId="9" xfId="0" applyFont="1" applyBorder="1" applyAlignment="1"/>
    <xf numFmtId="0" fontId="0" fillId="0" borderId="9" xfId="0" applyNumberFormat="1" applyFont="1" applyBorder="1" applyAlignment="1"/>
    <xf numFmtId="0" fontId="0" fillId="0" borderId="10" xfId="0" applyNumberFormat="1" applyFont="1" applyBorder="1" applyAlignment="1"/>
    <xf numFmtId="0" fontId="0" fillId="0" borderId="11" xfId="0" applyNumberFormat="1" applyFont="1" applyBorder="1" applyAlignment="1"/>
    <xf numFmtId="0" fontId="0" fillId="0" borderId="0" xfId="0" pivotButton="1" applyFont="1" applyAlignment="1"/>
    <xf numFmtId="0" fontId="4" fillId="0" borderId="0" xfId="0" applyFont="1" applyAlignment="1"/>
    <xf numFmtId="0" fontId="5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[Time Series.xlsx]Pivot Chart!PivotTable3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600"/>
              <a:t>Daya</a:t>
            </a:r>
            <a:r>
              <a:rPr lang="en-ID" sz="1600" baseline="0"/>
              <a:t> Listrik yang Dihasilkan Berdasarkan Jenis Pembangkit Listrik (MW)</a:t>
            </a:r>
            <a:endParaRPr lang="en-ID" sz="16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Chart'!$B$3:$B$4</c:f>
              <c:strCache>
                <c:ptCount val="1"/>
                <c:pt idx="0">
                  <c:v>Tenaga Air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Chart'!$A$5:$A$16</c:f>
              <c:strCache>
                <c:ptCount val="12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</c:strCache>
            </c:strRef>
          </c:cat>
          <c:val>
            <c:numRef>
              <c:f>'Pivot Chart'!$B$5:$B$16</c:f>
              <c:numCache>
                <c:formatCode>General</c:formatCode>
                <c:ptCount val="12"/>
                <c:pt idx="0">
                  <c:v>3509</c:v>
                </c:pt>
                <c:pt idx="1">
                  <c:v>3683</c:v>
                </c:pt>
                <c:pt idx="2">
                  <c:v>3891</c:v>
                </c:pt>
                <c:pt idx="3">
                  <c:v>4509</c:v>
                </c:pt>
                <c:pt idx="4">
                  <c:v>4493</c:v>
                </c:pt>
                <c:pt idx="5">
                  <c:v>4713</c:v>
                </c:pt>
                <c:pt idx="6">
                  <c:v>4740</c:v>
                </c:pt>
                <c:pt idx="7">
                  <c:v>4853</c:v>
                </c:pt>
                <c:pt idx="8">
                  <c:v>5436</c:v>
                </c:pt>
                <c:pt idx="9">
                  <c:v>5447</c:v>
                </c:pt>
                <c:pt idx="10">
                  <c:v>5513</c:v>
                </c:pt>
                <c:pt idx="11">
                  <c:v>5661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41-4E9D-86AF-C2A515F34D62}"/>
            </c:ext>
          </c:extLst>
        </c:ser>
        <c:ser>
          <c:idx val="1"/>
          <c:order val="1"/>
          <c:tx>
            <c:strRef>
              <c:f>'Pivot Chart'!$C$3:$C$4</c:f>
              <c:strCache>
                <c:ptCount val="1"/>
                <c:pt idx="0">
                  <c:v>Tenaga Diesel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Chart'!$A$5:$A$16</c:f>
              <c:strCache>
                <c:ptCount val="12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</c:strCache>
            </c:strRef>
          </c:cat>
          <c:val>
            <c:numRef>
              <c:f>'Pivot Chart'!$C$5:$C$16</c:f>
              <c:numCache>
                <c:formatCode>General</c:formatCode>
                <c:ptCount val="12"/>
                <c:pt idx="0">
                  <c:v>2981</c:v>
                </c:pt>
                <c:pt idx="1">
                  <c:v>3328</c:v>
                </c:pt>
                <c:pt idx="2">
                  <c:v>2809</c:v>
                </c:pt>
                <c:pt idx="3">
                  <c:v>3333</c:v>
                </c:pt>
                <c:pt idx="4">
                  <c:v>3353</c:v>
                </c:pt>
                <c:pt idx="5">
                  <c:v>5024</c:v>
                </c:pt>
                <c:pt idx="6">
                  <c:v>5064</c:v>
                </c:pt>
                <c:pt idx="7">
                  <c:v>6919</c:v>
                </c:pt>
                <c:pt idx="8">
                  <c:v>6384</c:v>
                </c:pt>
                <c:pt idx="9">
                  <c:v>5009</c:v>
                </c:pt>
                <c:pt idx="10">
                  <c:v>5388</c:v>
                </c:pt>
                <c:pt idx="11">
                  <c:v>4203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41-4E9D-86AF-C2A515F34D62}"/>
            </c:ext>
          </c:extLst>
        </c:ser>
        <c:ser>
          <c:idx val="2"/>
          <c:order val="2"/>
          <c:tx>
            <c:strRef>
              <c:f>'Pivot Chart'!$D$3:$D$4</c:f>
              <c:strCache>
                <c:ptCount val="1"/>
                <c:pt idx="0">
                  <c:v>Tenaga Gas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'Pivot Chart'!$A$5:$A$16</c:f>
              <c:strCache>
                <c:ptCount val="12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</c:strCache>
            </c:strRef>
          </c:cat>
          <c:val>
            <c:numRef>
              <c:f>'Pivot Chart'!$D$5:$D$16</c:f>
              <c:numCache>
                <c:formatCode>General</c:formatCode>
                <c:ptCount val="12"/>
                <c:pt idx="0">
                  <c:v>2571</c:v>
                </c:pt>
                <c:pt idx="1">
                  <c:v>3635</c:v>
                </c:pt>
                <c:pt idx="2">
                  <c:v>3217</c:v>
                </c:pt>
                <c:pt idx="3">
                  <c:v>3548</c:v>
                </c:pt>
                <c:pt idx="4">
                  <c:v>3469</c:v>
                </c:pt>
                <c:pt idx="5">
                  <c:v>3845</c:v>
                </c:pt>
                <c:pt idx="6">
                  <c:v>3832</c:v>
                </c:pt>
                <c:pt idx="7">
                  <c:v>3674</c:v>
                </c:pt>
                <c:pt idx="8">
                  <c:v>5467</c:v>
                </c:pt>
                <c:pt idx="9">
                  <c:v>4998</c:v>
                </c:pt>
                <c:pt idx="10">
                  <c:v>5174</c:v>
                </c:pt>
                <c:pt idx="11">
                  <c:v>5083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241-4E9D-86AF-C2A515F34D62}"/>
            </c:ext>
          </c:extLst>
        </c:ser>
        <c:ser>
          <c:idx val="3"/>
          <c:order val="3"/>
          <c:tx>
            <c:strRef>
              <c:f>'Pivot Chart'!$E$3:$E$4</c:f>
              <c:strCache>
                <c:ptCount val="1"/>
                <c:pt idx="0">
                  <c:v>Tenaga Gas Uap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'Pivot Chart'!$A$5:$A$16</c:f>
              <c:strCache>
                <c:ptCount val="12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</c:strCache>
            </c:strRef>
          </c:cat>
          <c:val>
            <c:numRef>
              <c:f>'Pivot Chart'!$E$5:$E$16</c:f>
              <c:numCache>
                <c:formatCode>General</c:formatCode>
                <c:ptCount val="12"/>
                <c:pt idx="0">
                  <c:v>7371</c:v>
                </c:pt>
                <c:pt idx="1">
                  <c:v>8029</c:v>
                </c:pt>
                <c:pt idx="2">
                  <c:v>8799</c:v>
                </c:pt>
                <c:pt idx="3">
                  <c:v>9393</c:v>
                </c:pt>
                <c:pt idx="4">
                  <c:v>9573</c:v>
                </c:pt>
                <c:pt idx="5">
                  <c:v>9959</c:v>
                </c:pt>
                <c:pt idx="6">
                  <c:v>9947</c:v>
                </c:pt>
                <c:pt idx="7">
                  <c:v>11597</c:v>
                </c:pt>
                <c:pt idx="8">
                  <c:v>11249</c:v>
                </c:pt>
                <c:pt idx="9">
                  <c:v>12056</c:v>
                </c:pt>
                <c:pt idx="10">
                  <c:v>11993</c:v>
                </c:pt>
                <c:pt idx="11">
                  <c:v>12430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241-4E9D-86AF-C2A515F34D62}"/>
            </c:ext>
          </c:extLst>
        </c:ser>
        <c:ser>
          <c:idx val="4"/>
          <c:order val="4"/>
          <c:tx>
            <c:strRef>
              <c:f>'Pivot Chart'!$F$3:$F$4</c:f>
              <c:strCache>
                <c:ptCount val="1"/>
                <c:pt idx="0">
                  <c:v>Tenaga Panas Bumi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'Pivot Chart'!$A$5:$A$16</c:f>
              <c:strCache>
                <c:ptCount val="12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</c:strCache>
            </c:strRef>
          </c:cat>
          <c:val>
            <c:numRef>
              <c:f>'Pivot Chart'!$F$5:$F$16</c:f>
              <c:numCache>
                <c:formatCode>General</c:formatCode>
                <c:ptCount val="12"/>
                <c:pt idx="0">
                  <c:v>415</c:v>
                </c:pt>
                <c:pt idx="1">
                  <c:v>1130</c:v>
                </c:pt>
                <c:pt idx="2">
                  <c:v>943</c:v>
                </c:pt>
                <c:pt idx="3">
                  <c:v>1207</c:v>
                </c:pt>
                <c:pt idx="4">
                  <c:v>1229</c:v>
                </c:pt>
                <c:pt idx="5">
                  <c:v>1325</c:v>
                </c:pt>
                <c:pt idx="6">
                  <c:v>1335</c:v>
                </c:pt>
                <c:pt idx="7">
                  <c:v>1503</c:v>
                </c:pt>
                <c:pt idx="8">
                  <c:v>1986</c:v>
                </c:pt>
                <c:pt idx="9">
                  <c:v>1986</c:v>
                </c:pt>
                <c:pt idx="10">
                  <c:v>1979</c:v>
                </c:pt>
                <c:pt idx="11">
                  <c:v>2529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241-4E9D-86AF-C2A515F34D62}"/>
            </c:ext>
          </c:extLst>
        </c:ser>
        <c:ser>
          <c:idx val="5"/>
          <c:order val="5"/>
          <c:tx>
            <c:strRef>
              <c:f>'Pivot Chart'!$G$3:$G$4</c:f>
              <c:strCache>
                <c:ptCount val="1"/>
                <c:pt idx="0">
                  <c:v>Tenaga Uap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'Pivot Chart'!$A$5:$A$16</c:f>
              <c:strCache>
                <c:ptCount val="12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</c:strCache>
            </c:strRef>
          </c:cat>
          <c:val>
            <c:numRef>
              <c:f>'Pivot Chart'!$G$5:$G$16</c:f>
              <c:numCache>
                <c:formatCode>General</c:formatCode>
                <c:ptCount val="12"/>
                <c:pt idx="0">
                  <c:v>8764</c:v>
                </c:pt>
                <c:pt idx="1">
                  <c:v>13046</c:v>
                </c:pt>
                <c:pt idx="2">
                  <c:v>15857</c:v>
                </c:pt>
                <c:pt idx="3">
                  <c:v>22587</c:v>
                </c:pt>
                <c:pt idx="4">
                  <c:v>22768</c:v>
                </c:pt>
                <c:pt idx="5">
                  <c:v>27651</c:v>
                </c:pt>
                <c:pt idx="6">
                  <c:v>28777</c:v>
                </c:pt>
                <c:pt idx="7">
                  <c:v>28905</c:v>
                </c:pt>
                <c:pt idx="8">
                  <c:v>32026</c:v>
                </c:pt>
                <c:pt idx="9">
                  <c:v>33095</c:v>
                </c:pt>
                <c:pt idx="10">
                  <c:v>32920</c:v>
                </c:pt>
                <c:pt idx="11">
                  <c:v>33092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241-4E9D-86AF-C2A515F34D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2105215"/>
        <c:axId val="1382082655"/>
      </c:lineChart>
      <c:catAx>
        <c:axId val="1382105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2082655"/>
        <c:crosses val="autoZero"/>
        <c:auto val="1"/>
        <c:lblAlgn val="ctr"/>
        <c:lblOffset val="100"/>
        <c:noMultiLvlLbl val="0"/>
      </c:catAx>
      <c:valAx>
        <c:axId val="138208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Kapasitas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2105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ID" b="0">
                <a:solidFill>
                  <a:srgbClr val="757575"/>
                </a:solidFill>
                <a:latin typeface="+mn-lt"/>
              </a:rPr>
              <a:t>Tenaga Air, Tenaga Diesel, Tenaga Gas, Tenaga Gas Uap, Tenaga Panas Bumi…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'Pivot Table 1'!$A$3</c:f>
              <c:strCache>
                <c:ptCount val="1"/>
                <c:pt idx="0">
                  <c:v>Tenaga Air</c:v>
                </c:pt>
              </c:strCache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numRef>
              <c:f>'Pivot Table 1'!$B$2:$M$2</c:f>
              <c:numCache>
                <c:formatCode>d\-mmm\-yy</c:formatCode>
                <c:ptCount val="12"/>
                <c:pt idx="0">
                  <c:v>40178</c:v>
                </c:pt>
                <c:pt idx="1">
                  <c:v>40543</c:v>
                </c:pt>
                <c:pt idx="2">
                  <c:v>40908</c:v>
                </c:pt>
                <c:pt idx="3">
                  <c:v>41274</c:v>
                </c:pt>
                <c:pt idx="4">
                  <c:v>41639</c:v>
                </c:pt>
                <c:pt idx="5">
                  <c:v>42004</c:v>
                </c:pt>
                <c:pt idx="6">
                  <c:v>42369</c:v>
                </c:pt>
                <c:pt idx="7">
                  <c:v>43100</c:v>
                </c:pt>
                <c:pt idx="8">
                  <c:v>43465</c:v>
                </c:pt>
                <c:pt idx="9">
                  <c:v>43830</c:v>
                </c:pt>
                <c:pt idx="10">
                  <c:v>44196</c:v>
                </c:pt>
                <c:pt idx="11">
                  <c:v>44561</c:v>
                </c:pt>
              </c:numCache>
            </c:numRef>
          </c:cat>
          <c:val>
            <c:numRef>
              <c:f>'Pivot Table 1'!$B$3:$M$3</c:f>
              <c:numCache>
                <c:formatCode>General</c:formatCode>
                <c:ptCount val="12"/>
                <c:pt idx="0">
                  <c:v>3509</c:v>
                </c:pt>
                <c:pt idx="1">
                  <c:v>3683</c:v>
                </c:pt>
                <c:pt idx="2">
                  <c:v>3891</c:v>
                </c:pt>
                <c:pt idx="3">
                  <c:v>4509</c:v>
                </c:pt>
                <c:pt idx="4">
                  <c:v>4493</c:v>
                </c:pt>
                <c:pt idx="5">
                  <c:v>4713</c:v>
                </c:pt>
                <c:pt idx="6">
                  <c:v>4740</c:v>
                </c:pt>
                <c:pt idx="7">
                  <c:v>4853</c:v>
                </c:pt>
                <c:pt idx="8">
                  <c:v>5436</c:v>
                </c:pt>
                <c:pt idx="9">
                  <c:v>5447</c:v>
                </c:pt>
                <c:pt idx="10">
                  <c:v>5513</c:v>
                </c:pt>
                <c:pt idx="11">
                  <c:v>5661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D6-4AB6-982B-62911212942F}"/>
            </c:ext>
          </c:extLst>
        </c:ser>
        <c:ser>
          <c:idx val="1"/>
          <c:order val="1"/>
          <c:tx>
            <c:strRef>
              <c:f>'Pivot Table 1'!$A$4</c:f>
              <c:strCache>
                <c:ptCount val="1"/>
                <c:pt idx="0">
                  <c:v>Tenaga Diesel</c:v>
                </c:pt>
              </c:strCache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numRef>
              <c:f>'Pivot Table 1'!$B$2:$M$2</c:f>
              <c:numCache>
                <c:formatCode>d\-mmm\-yy</c:formatCode>
                <c:ptCount val="12"/>
                <c:pt idx="0">
                  <c:v>40178</c:v>
                </c:pt>
                <c:pt idx="1">
                  <c:v>40543</c:v>
                </c:pt>
                <c:pt idx="2">
                  <c:v>40908</c:v>
                </c:pt>
                <c:pt idx="3">
                  <c:v>41274</c:v>
                </c:pt>
                <c:pt idx="4">
                  <c:v>41639</c:v>
                </c:pt>
                <c:pt idx="5">
                  <c:v>42004</c:v>
                </c:pt>
                <c:pt idx="6">
                  <c:v>42369</c:v>
                </c:pt>
                <c:pt idx="7">
                  <c:v>43100</c:v>
                </c:pt>
                <c:pt idx="8">
                  <c:v>43465</c:v>
                </c:pt>
                <c:pt idx="9">
                  <c:v>43830</c:v>
                </c:pt>
                <c:pt idx="10">
                  <c:v>44196</c:v>
                </c:pt>
                <c:pt idx="11">
                  <c:v>44561</c:v>
                </c:pt>
              </c:numCache>
            </c:numRef>
          </c:cat>
          <c:val>
            <c:numRef>
              <c:f>'Pivot Table 1'!$B$4:$M$4</c:f>
              <c:numCache>
                <c:formatCode>General</c:formatCode>
                <c:ptCount val="12"/>
                <c:pt idx="0">
                  <c:v>2981</c:v>
                </c:pt>
                <c:pt idx="1">
                  <c:v>3328</c:v>
                </c:pt>
                <c:pt idx="2">
                  <c:v>2809</c:v>
                </c:pt>
                <c:pt idx="3">
                  <c:v>3333</c:v>
                </c:pt>
                <c:pt idx="4">
                  <c:v>3353</c:v>
                </c:pt>
                <c:pt idx="5">
                  <c:v>5024</c:v>
                </c:pt>
                <c:pt idx="6">
                  <c:v>5064</c:v>
                </c:pt>
                <c:pt idx="7">
                  <c:v>6919</c:v>
                </c:pt>
                <c:pt idx="8">
                  <c:v>6384</c:v>
                </c:pt>
                <c:pt idx="9">
                  <c:v>5009</c:v>
                </c:pt>
                <c:pt idx="10">
                  <c:v>5388</c:v>
                </c:pt>
                <c:pt idx="11">
                  <c:v>4203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D6-4AB6-982B-62911212942F}"/>
            </c:ext>
          </c:extLst>
        </c:ser>
        <c:ser>
          <c:idx val="2"/>
          <c:order val="2"/>
          <c:tx>
            <c:strRef>
              <c:f>'Pivot Table 1'!$A$5</c:f>
              <c:strCache>
                <c:ptCount val="1"/>
                <c:pt idx="0">
                  <c:v>Tenaga Gas</c:v>
                </c:pt>
              </c:strCache>
            </c:strRef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numRef>
              <c:f>'Pivot Table 1'!$B$2:$M$2</c:f>
              <c:numCache>
                <c:formatCode>d\-mmm\-yy</c:formatCode>
                <c:ptCount val="12"/>
                <c:pt idx="0">
                  <c:v>40178</c:v>
                </c:pt>
                <c:pt idx="1">
                  <c:v>40543</c:v>
                </c:pt>
                <c:pt idx="2">
                  <c:v>40908</c:v>
                </c:pt>
                <c:pt idx="3">
                  <c:v>41274</c:v>
                </c:pt>
                <c:pt idx="4">
                  <c:v>41639</c:v>
                </c:pt>
                <c:pt idx="5">
                  <c:v>42004</c:v>
                </c:pt>
                <c:pt idx="6">
                  <c:v>42369</c:v>
                </c:pt>
                <c:pt idx="7">
                  <c:v>43100</c:v>
                </c:pt>
                <c:pt idx="8">
                  <c:v>43465</c:v>
                </c:pt>
                <c:pt idx="9">
                  <c:v>43830</c:v>
                </c:pt>
                <c:pt idx="10">
                  <c:v>44196</c:v>
                </c:pt>
                <c:pt idx="11">
                  <c:v>44561</c:v>
                </c:pt>
              </c:numCache>
            </c:numRef>
          </c:cat>
          <c:val>
            <c:numRef>
              <c:f>'Pivot Table 1'!$B$5:$M$5</c:f>
              <c:numCache>
                <c:formatCode>General</c:formatCode>
                <c:ptCount val="12"/>
                <c:pt idx="0">
                  <c:v>2571</c:v>
                </c:pt>
                <c:pt idx="1">
                  <c:v>3635</c:v>
                </c:pt>
                <c:pt idx="2">
                  <c:v>3217</c:v>
                </c:pt>
                <c:pt idx="3">
                  <c:v>3548</c:v>
                </c:pt>
                <c:pt idx="4">
                  <c:v>3469</c:v>
                </c:pt>
                <c:pt idx="5">
                  <c:v>3845</c:v>
                </c:pt>
                <c:pt idx="6">
                  <c:v>3832</c:v>
                </c:pt>
                <c:pt idx="7">
                  <c:v>3674</c:v>
                </c:pt>
                <c:pt idx="8">
                  <c:v>5467</c:v>
                </c:pt>
                <c:pt idx="9">
                  <c:v>4998</c:v>
                </c:pt>
                <c:pt idx="10">
                  <c:v>5174</c:v>
                </c:pt>
                <c:pt idx="11">
                  <c:v>5083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1D6-4AB6-982B-62911212942F}"/>
            </c:ext>
          </c:extLst>
        </c:ser>
        <c:ser>
          <c:idx val="3"/>
          <c:order val="3"/>
          <c:tx>
            <c:strRef>
              <c:f>'Pivot Table 1'!$A$6</c:f>
              <c:strCache>
                <c:ptCount val="1"/>
                <c:pt idx="0">
                  <c:v>Tenaga Gas Uap</c:v>
                </c:pt>
              </c:strCache>
            </c:strRef>
          </c:tx>
          <c:spPr>
            <a:ln cmpd="sng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'Pivot Table 1'!$B$2:$M$2</c:f>
              <c:numCache>
                <c:formatCode>d\-mmm\-yy</c:formatCode>
                <c:ptCount val="12"/>
                <c:pt idx="0">
                  <c:v>40178</c:v>
                </c:pt>
                <c:pt idx="1">
                  <c:v>40543</c:v>
                </c:pt>
                <c:pt idx="2">
                  <c:v>40908</c:v>
                </c:pt>
                <c:pt idx="3">
                  <c:v>41274</c:v>
                </c:pt>
                <c:pt idx="4">
                  <c:v>41639</c:v>
                </c:pt>
                <c:pt idx="5">
                  <c:v>42004</c:v>
                </c:pt>
                <c:pt idx="6">
                  <c:v>42369</c:v>
                </c:pt>
                <c:pt idx="7">
                  <c:v>43100</c:v>
                </c:pt>
                <c:pt idx="8">
                  <c:v>43465</c:v>
                </c:pt>
                <c:pt idx="9">
                  <c:v>43830</c:v>
                </c:pt>
                <c:pt idx="10">
                  <c:v>44196</c:v>
                </c:pt>
                <c:pt idx="11">
                  <c:v>44561</c:v>
                </c:pt>
              </c:numCache>
            </c:numRef>
          </c:cat>
          <c:val>
            <c:numRef>
              <c:f>'Pivot Table 1'!$B$6:$M$6</c:f>
              <c:numCache>
                <c:formatCode>General</c:formatCode>
                <c:ptCount val="12"/>
                <c:pt idx="0">
                  <c:v>7371</c:v>
                </c:pt>
                <c:pt idx="1">
                  <c:v>8029</c:v>
                </c:pt>
                <c:pt idx="2">
                  <c:v>8799</c:v>
                </c:pt>
                <c:pt idx="3">
                  <c:v>9393</c:v>
                </c:pt>
                <c:pt idx="4">
                  <c:v>9573</c:v>
                </c:pt>
                <c:pt idx="5">
                  <c:v>9959</c:v>
                </c:pt>
                <c:pt idx="6">
                  <c:v>9947</c:v>
                </c:pt>
                <c:pt idx="7">
                  <c:v>11597</c:v>
                </c:pt>
                <c:pt idx="8">
                  <c:v>11249</c:v>
                </c:pt>
                <c:pt idx="9">
                  <c:v>12056</c:v>
                </c:pt>
                <c:pt idx="10">
                  <c:v>11993</c:v>
                </c:pt>
                <c:pt idx="11">
                  <c:v>12430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1D6-4AB6-982B-62911212942F}"/>
            </c:ext>
          </c:extLst>
        </c:ser>
        <c:ser>
          <c:idx val="4"/>
          <c:order val="4"/>
          <c:tx>
            <c:strRef>
              <c:f>'Pivot Table 1'!$A$7</c:f>
              <c:strCache>
                <c:ptCount val="1"/>
                <c:pt idx="0">
                  <c:v>Tenaga Panas Bumi</c:v>
                </c:pt>
              </c:strCache>
            </c:strRef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numRef>
              <c:f>'Pivot Table 1'!$B$2:$M$2</c:f>
              <c:numCache>
                <c:formatCode>d\-mmm\-yy</c:formatCode>
                <c:ptCount val="12"/>
                <c:pt idx="0">
                  <c:v>40178</c:v>
                </c:pt>
                <c:pt idx="1">
                  <c:v>40543</c:v>
                </c:pt>
                <c:pt idx="2">
                  <c:v>40908</c:v>
                </c:pt>
                <c:pt idx="3">
                  <c:v>41274</c:v>
                </c:pt>
                <c:pt idx="4">
                  <c:v>41639</c:v>
                </c:pt>
                <c:pt idx="5">
                  <c:v>42004</c:v>
                </c:pt>
                <c:pt idx="6">
                  <c:v>42369</c:v>
                </c:pt>
                <c:pt idx="7">
                  <c:v>43100</c:v>
                </c:pt>
                <c:pt idx="8">
                  <c:v>43465</c:v>
                </c:pt>
                <c:pt idx="9">
                  <c:v>43830</c:v>
                </c:pt>
                <c:pt idx="10">
                  <c:v>44196</c:v>
                </c:pt>
                <c:pt idx="11">
                  <c:v>44561</c:v>
                </c:pt>
              </c:numCache>
            </c:numRef>
          </c:cat>
          <c:val>
            <c:numRef>
              <c:f>'Pivot Table 1'!$B$7:$M$7</c:f>
              <c:numCache>
                <c:formatCode>General</c:formatCode>
                <c:ptCount val="12"/>
                <c:pt idx="0">
                  <c:v>415</c:v>
                </c:pt>
                <c:pt idx="1">
                  <c:v>1130</c:v>
                </c:pt>
                <c:pt idx="2">
                  <c:v>943</c:v>
                </c:pt>
                <c:pt idx="3">
                  <c:v>1207</c:v>
                </c:pt>
                <c:pt idx="4">
                  <c:v>1229</c:v>
                </c:pt>
                <c:pt idx="5">
                  <c:v>1325</c:v>
                </c:pt>
                <c:pt idx="6">
                  <c:v>1335</c:v>
                </c:pt>
                <c:pt idx="7">
                  <c:v>1503</c:v>
                </c:pt>
                <c:pt idx="8">
                  <c:v>1986</c:v>
                </c:pt>
                <c:pt idx="9">
                  <c:v>1986</c:v>
                </c:pt>
                <c:pt idx="10">
                  <c:v>1979</c:v>
                </c:pt>
                <c:pt idx="11">
                  <c:v>2529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1D6-4AB6-982B-62911212942F}"/>
            </c:ext>
          </c:extLst>
        </c:ser>
        <c:ser>
          <c:idx val="5"/>
          <c:order val="5"/>
          <c:tx>
            <c:strRef>
              <c:f>'Pivot Table 1'!$A$8</c:f>
              <c:strCache>
                <c:ptCount val="1"/>
                <c:pt idx="0">
                  <c:v>Tenaga Uap</c:v>
                </c:pt>
              </c:strCache>
            </c:strRef>
          </c:tx>
          <c:spPr>
            <a:ln cmpd="sng">
              <a:solidFill>
                <a:srgbClr val="70AD47"/>
              </a:solidFill>
            </a:ln>
          </c:spPr>
          <c:marker>
            <c:symbol val="none"/>
          </c:marker>
          <c:cat>
            <c:numRef>
              <c:f>'Pivot Table 1'!$B$2:$M$2</c:f>
              <c:numCache>
                <c:formatCode>d\-mmm\-yy</c:formatCode>
                <c:ptCount val="12"/>
                <c:pt idx="0">
                  <c:v>40178</c:v>
                </c:pt>
                <c:pt idx="1">
                  <c:v>40543</c:v>
                </c:pt>
                <c:pt idx="2">
                  <c:v>40908</c:v>
                </c:pt>
                <c:pt idx="3">
                  <c:v>41274</c:v>
                </c:pt>
                <c:pt idx="4">
                  <c:v>41639</c:v>
                </c:pt>
                <c:pt idx="5">
                  <c:v>42004</c:v>
                </c:pt>
                <c:pt idx="6">
                  <c:v>42369</c:v>
                </c:pt>
                <c:pt idx="7">
                  <c:v>43100</c:v>
                </c:pt>
                <c:pt idx="8">
                  <c:v>43465</c:v>
                </c:pt>
                <c:pt idx="9">
                  <c:v>43830</c:v>
                </c:pt>
                <c:pt idx="10">
                  <c:v>44196</c:v>
                </c:pt>
                <c:pt idx="11">
                  <c:v>44561</c:v>
                </c:pt>
              </c:numCache>
            </c:numRef>
          </c:cat>
          <c:val>
            <c:numRef>
              <c:f>'Pivot Table 1'!$B$8:$M$8</c:f>
              <c:numCache>
                <c:formatCode>General</c:formatCode>
                <c:ptCount val="12"/>
                <c:pt idx="0">
                  <c:v>8764</c:v>
                </c:pt>
                <c:pt idx="1">
                  <c:v>13046</c:v>
                </c:pt>
                <c:pt idx="2">
                  <c:v>15857</c:v>
                </c:pt>
                <c:pt idx="3">
                  <c:v>22587</c:v>
                </c:pt>
                <c:pt idx="4">
                  <c:v>22768</c:v>
                </c:pt>
                <c:pt idx="5">
                  <c:v>27651</c:v>
                </c:pt>
                <c:pt idx="6">
                  <c:v>28777</c:v>
                </c:pt>
                <c:pt idx="7">
                  <c:v>28905</c:v>
                </c:pt>
                <c:pt idx="8">
                  <c:v>32026</c:v>
                </c:pt>
                <c:pt idx="9">
                  <c:v>33095</c:v>
                </c:pt>
                <c:pt idx="10">
                  <c:v>32920</c:v>
                </c:pt>
                <c:pt idx="11">
                  <c:v>33092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1D6-4AB6-982B-6291121294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348439"/>
        <c:axId val="1156165231"/>
      </c:lineChart>
      <c:dateAx>
        <c:axId val="983484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D" b="0">
                    <a:solidFill>
                      <a:srgbClr val="000000"/>
                    </a:solidFill>
                    <a:latin typeface="+mn-lt"/>
                  </a:rPr>
                  <a:t>Jenis</a:t>
                </a:r>
              </a:p>
            </c:rich>
          </c:tx>
          <c:overlay val="0"/>
        </c:title>
        <c:numFmt formatCode="d\-mmm\-yy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56165231"/>
        <c:crosses val="autoZero"/>
        <c:auto val="1"/>
        <c:lblOffset val="100"/>
        <c:baseTimeUnit val="years"/>
      </c:dateAx>
      <c:valAx>
        <c:axId val="11561652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D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834843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84363</xdr:rowOff>
    </xdr:from>
    <xdr:to>
      <xdr:col>8</xdr:col>
      <xdr:colOff>27214</xdr:colOff>
      <xdr:row>40</xdr:row>
      <xdr:rowOff>149677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371F05-3EC6-048F-6879-E60CD582A6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257176</xdr:colOff>
      <xdr:row>0</xdr:row>
      <xdr:rowOff>47626</xdr:rowOff>
    </xdr:from>
    <xdr:to>
      <xdr:col>1</xdr:col>
      <xdr:colOff>66676</xdr:colOff>
      <xdr:row>2</xdr:row>
      <xdr:rowOff>142876</xdr:rowOff>
    </xdr:to>
    <xdr:pic>
      <xdr:nvPicPr>
        <xdr:cNvPr id="3" name="Graphic 2" descr="A lightbulb">
          <a:extLst>
            <a:ext uri="{FF2B5EF4-FFF2-40B4-BE49-F238E27FC236}">
              <a16:creationId xmlns:a16="http://schemas.microsoft.com/office/drawing/2014/main" id="{A82EB6A1-FBC0-1B1B-9D8C-3BB291F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57176" y="47626"/>
          <a:ext cx="495300" cy="4953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857250</xdr:colOff>
      <xdr:row>10</xdr:row>
      <xdr:rowOff>9525</xdr:rowOff>
    </xdr:from>
    <xdr:ext cx="5715000" cy="3533775"/>
    <xdr:graphicFrame macro="">
      <xdr:nvGraphicFramePr>
        <xdr:cNvPr id="1060618543" name="Chart 1" title="Chart">
          <a:extLst>
            <a:ext uri="{FF2B5EF4-FFF2-40B4-BE49-F238E27FC236}">
              <a16:creationId xmlns:a16="http://schemas.microsoft.com/office/drawing/2014/main" id="{00000000-0008-0000-0100-00002FC137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SUS" refreshedDate="45990.149330208333" refreshedVersion="8" recordCount="72" xr:uid="{00000000-000A-0000-FFFF-FFFF00000000}">
  <cacheSource type="worksheet">
    <worksheetSource ref="A1:C73" sheet="Time Series"/>
  </cacheSource>
  <cacheFields count="3">
    <cacheField name="Tahun" numFmtId="15">
      <sharedItems containsSemiMixedTypes="0" containsNonDate="0" containsDate="1" containsString="0" minDate="2009-12-31T00:00:00" maxDate="2022-01-01T00:00:00" count="12">
        <d v="2009-12-31T00:00:00"/>
        <d v="2010-12-31T00:00:00"/>
        <d v="2011-12-31T00:00:00"/>
        <d v="2012-12-31T00:00:00"/>
        <d v="2013-12-31T00:00:00"/>
        <d v="2014-12-31T00:00:00"/>
        <d v="2015-12-31T00:00:00"/>
        <d v="2017-12-31T00:00:00"/>
        <d v="2018-12-31T00:00:00"/>
        <d v="2019-12-31T00:00:00"/>
        <d v="2020-12-31T00:00:00"/>
        <d v="2021-12-31T00:00:00"/>
      </sharedItems>
    </cacheField>
    <cacheField name="Jenis" numFmtId="0">
      <sharedItems count="6">
        <s v="Tenaga Air"/>
        <s v="Tenaga Uap"/>
        <s v="Tenaga Gas"/>
        <s v="Tenaga Gas Uap"/>
        <s v="Tenaga Panas Bumi"/>
        <s v="Tenaga Diesel"/>
      </sharedItems>
    </cacheField>
    <cacheField name="Daya" numFmtId="0">
      <sharedItems containsSemiMixedTypes="0" containsString="0" containsNumber="1" containsInteger="1" minValue="415" maxValue="330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" refreshedDate="45990.158798379627" backgroundQuery="1" createdVersion="8" refreshedVersion="8" minRefreshableVersion="3" recordCount="0" supportSubquery="1" supportAdvancedDrill="1" xr:uid="{4B305EF6-04E7-4BC2-918D-32FE48A01317}">
  <cacheSource type="external" connectionId="1"/>
  <cacheFields count="3">
    <cacheField name="[Range].[Jenis].[Jenis]" caption="Jenis" numFmtId="0" hierarchy="1" level="1">
      <sharedItems count="6">
        <s v="Tenaga Air"/>
        <s v="Tenaga Diesel"/>
        <s v="Tenaga Gas"/>
        <s v="Tenaga Gas Uap"/>
        <s v="Tenaga Panas Bumi"/>
        <s v="Tenaga Uap"/>
      </sharedItems>
    </cacheField>
    <cacheField name="[Measures].[Sum of Daya]" caption="Sum of Daya" numFmtId="0" hierarchy="9" level="32767"/>
    <cacheField name="[Range].[Tahun (Year)].[Tahun (Year)]" caption="Tahun (Year)" numFmtId="0" hierarchy="3" level="1">
      <sharedItems count="12">
        <s v="2009"/>
        <s v="2010"/>
        <s v="2011"/>
        <s v="2012"/>
        <s v="2013"/>
        <s v="2014"/>
        <s v="2015"/>
        <s v="2017"/>
        <s v="2018"/>
        <s v="2019"/>
        <s v="2020"/>
        <s v="2021"/>
      </sharedItems>
    </cacheField>
  </cacheFields>
  <cacheHierarchies count="10">
    <cacheHierarchy uniqueName="[Range].[Tahun]" caption="Tahun" attribute="1" time="1" defaultMemberUniqueName="[Range].[Tahun].[All]" allUniqueName="[Range].[Tahun].[All]" dimensionUniqueName="[Range]" displayFolder="" count="2" memberValueDatatype="7" unbalanced="0"/>
    <cacheHierarchy uniqueName="[Range].[Jenis]" caption="Jenis" attribute="1" defaultMemberUniqueName="[Range].[Jenis].[All]" allUniqueName="[Range].[Jenis].[All]" dimensionUniqueName="[Range]" displayFolder="" count="2" memberValueDatatype="130" unbalanced="0">
      <fieldsUsage count="2">
        <fieldUsage x="-1"/>
        <fieldUsage x="0"/>
      </fieldsUsage>
    </cacheHierarchy>
    <cacheHierarchy uniqueName="[Range].[Daya]" caption="Daya" attribute="1" defaultMemberUniqueName="[Range].[Daya].[All]" allUniqueName="[Range].[Daya].[All]" dimensionUniqueName="[Range]" displayFolder="" count="0" memberValueDatatype="20" unbalanced="0"/>
    <cacheHierarchy uniqueName="[Range].[Tahun (Year)]" caption="Tahun (Year)" attribute="1" defaultMemberUniqueName="[Range].[Tahun (Year)].[All]" allUniqueName="[Range].[Tahun (Year)].[All]" dimensionUniqueName="[Range]" displayFolder="" count="2" memberValueDatatype="130" unbalanced="0">
      <fieldsUsage count="2">
        <fieldUsage x="-1"/>
        <fieldUsage x="2"/>
      </fieldsUsage>
    </cacheHierarchy>
    <cacheHierarchy uniqueName="[Range].[Tahun (Quarter)]" caption="Tahun (Quarter)" attribute="1" defaultMemberUniqueName="[Range].[Tahun (Quarter)].[All]" allUniqueName="[Range].[Tahun (Quarter)].[All]" dimensionUniqueName="[Range]" displayFolder="" count="2" memberValueDatatype="130" unbalanced="0"/>
    <cacheHierarchy uniqueName="[Range].[Tahun (Month)]" caption="Tahun (Month)" attribute="1" defaultMemberUniqueName="[Range].[Tahun (Month)].[All]" allUniqueName="[Range].[Tahun (Month)].[All]" dimensionUniqueName="[Range]" displayFolder="" count="2" memberValueDatatype="130" unbalanced="0"/>
    <cacheHierarchy uniqueName="[Range].[Tahun (Month Index)]" caption="Tahun (Month Index)" attribute="1" defaultMemberUniqueName="[Range].[Tahun (Month Index)].[All]" allUniqueName="[Range].[Tahun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Daya]" caption="Sum of Daya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">
  <r>
    <x v="0"/>
    <x v="0"/>
    <n v="3509"/>
  </r>
  <r>
    <x v="0"/>
    <x v="1"/>
    <n v="8764"/>
  </r>
  <r>
    <x v="0"/>
    <x v="2"/>
    <n v="2571"/>
  </r>
  <r>
    <x v="0"/>
    <x v="3"/>
    <n v="7371"/>
  </r>
  <r>
    <x v="0"/>
    <x v="4"/>
    <n v="415"/>
  </r>
  <r>
    <x v="0"/>
    <x v="5"/>
    <n v="2981"/>
  </r>
  <r>
    <x v="1"/>
    <x v="0"/>
    <n v="3683"/>
  </r>
  <r>
    <x v="1"/>
    <x v="1"/>
    <n v="13046"/>
  </r>
  <r>
    <x v="1"/>
    <x v="2"/>
    <n v="3635"/>
  </r>
  <r>
    <x v="1"/>
    <x v="3"/>
    <n v="8029"/>
  </r>
  <r>
    <x v="1"/>
    <x v="4"/>
    <n v="1130"/>
  </r>
  <r>
    <x v="1"/>
    <x v="5"/>
    <n v="3328"/>
  </r>
  <r>
    <x v="2"/>
    <x v="0"/>
    <n v="3891"/>
  </r>
  <r>
    <x v="2"/>
    <x v="1"/>
    <n v="15857"/>
  </r>
  <r>
    <x v="2"/>
    <x v="2"/>
    <n v="3217"/>
  </r>
  <r>
    <x v="2"/>
    <x v="3"/>
    <n v="8799"/>
  </r>
  <r>
    <x v="2"/>
    <x v="4"/>
    <n v="943"/>
  </r>
  <r>
    <x v="2"/>
    <x v="5"/>
    <n v="2809"/>
  </r>
  <r>
    <x v="3"/>
    <x v="0"/>
    <n v="4509"/>
  </r>
  <r>
    <x v="3"/>
    <x v="1"/>
    <n v="22587"/>
  </r>
  <r>
    <x v="3"/>
    <x v="2"/>
    <n v="3548"/>
  </r>
  <r>
    <x v="3"/>
    <x v="3"/>
    <n v="9393"/>
  </r>
  <r>
    <x v="3"/>
    <x v="4"/>
    <n v="1207"/>
  </r>
  <r>
    <x v="3"/>
    <x v="5"/>
    <n v="3333"/>
  </r>
  <r>
    <x v="4"/>
    <x v="0"/>
    <n v="4493"/>
  </r>
  <r>
    <x v="4"/>
    <x v="1"/>
    <n v="22768"/>
  </r>
  <r>
    <x v="4"/>
    <x v="2"/>
    <n v="3469"/>
  </r>
  <r>
    <x v="4"/>
    <x v="3"/>
    <n v="9573"/>
  </r>
  <r>
    <x v="4"/>
    <x v="4"/>
    <n v="1229"/>
  </r>
  <r>
    <x v="4"/>
    <x v="5"/>
    <n v="3353"/>
  </r>
  <r>
    <x v="5"/>
    <x v="0"/>
    <n v="4713"/>
  </r>
  <r>
    <x v="5"/>
    <x v="1"/>
    <n v="27651"/>
  </r>
  <r>
    <x v="5"/>
    <x v="2"/>
    <n v="3845"/>
  </r>
  <r>
    <x v="5"/>
    <x v="3"/>
    <n v="9959"/>
  </r>
  <r>
    <x v="5"/>
    <x v="4"/>
    <n v="1325"/>
  </r>
  <r>
    <x v="5"/>
    <x v="5"/>
    <n v="5024"/>
  </r>
  <r>
    <x v="6"/>
    <x v="0"/>
    <n v="4740"/>
  </r>
  <r>
    <x v="6"/>
    <x v="1"/>
    <n v="28777"/>
  </r>
  <r>
    <x v="6"/>
    <x v="2"/>
    <n v="3832"/>
  </r>
  <r>
    <x v="6"/>
    <x v="3"/>
    <n v="9947"/>
  </r>
  <r>
    <x v="6"/>
    <x v="4"/>
    <n v="1335"/>
  </r>
  <r>
    <x v="6"/>
    <x v="5"/>
    <n v="5064"/>
  </r>
  <r>
    <x v="7"/>
    <x v="0"/>
    <n v="4853"/>
  </r>
  <r>
    <x v="7"/>
    <x v="1"/>
    <n v="28905"/>
  </r>
  <r>
    <x v="7"/>
    <x v="2"/>
    <n v="3674"/>
  </r>
  <r>
    <x v="7"/>
    <x v="3"/>
    <n v="11597"/>
  </r>
  <r>
    <x v="7"/>
    <x v="4"/>
    <n v="1503"/>
  </r>
  <r>
    <x v="7"/>
    <x v="5"/>
    <n v="6919"/>
  </r>
  <r>
    <x v="8"/>
    <x v="0"/>
    <n v="5436"/>
  </r>
  <r>
    <x v="8"/>
    <x v="1"/>
    <n v="32026"/>
  </r>
  <r>
    <x v="8"/>
    <x v="2"/>
    <n v="5467"/>
  </r>
  <r>
    <x v="8"/>
    <x v="3"/>
    <n v="11249"/>
  </r>
  <r>
    <x v="8"/>
    <x v="4"/>
    <n v="1986"/>
  </r>
  <r>
    <x v="8"/>
    <x v="5"/>
    <n v="6384"/>
  </r>
  <r>
    <x v="9"/>
    <x v="0"/>
    <n v="5447"/>
  </r>
  <r>
    <x v="9"/>
    <x v="1"/>
    <n v="33095"/>
  </r>
  <r>
    <x v="9"/>
    <x v="2"/>
    <n v="4998"/>
  </r>
  <r>
    <x v="9"/>
    <x v="3"/>
    <n v="12056"/>
  </r>
  <r>
    <x v="9"/>
    <x v="4"/>
    <n v="1986"/>
  </r>
  <r>
    <x v="9"/>
    <x v="5"/>
    <n v="5009"/>
  </r>
  <r>
    <x v="10"/>
    <x v="0"/>
    <n v="5513"/>
  </r>
  <r>
    <x v="10"/>
    <x v="1"/>
    <n v="32920"/>
  </r>
  <r>
    <x v="10"/>
    <x v="2"/>
    <n v="5174"/>
  </r>
  <r>
    <x v="10"/>
    <x v="3"/>
    <n v="11993"/>
  </r>
  <r>
    <x v="10"/>
    <x v="4"/>
    <n v="1979"/>
  </r>
  <r>
    <x v="10"/>
    <x v="5"/>
    <n v="5388"/>
  </r>
  <r>
    <x v="11"/>
    <x v="0"/>
    <n v="5661"/>
  </r>
  <r>
    <x v="11"/>
    <x v="1"/>
    <n v="33092"/>
  </r>
  <r>
    <x v="11"/>
    <x v="2"/>
    <n v="5083"/>
  </r>
  <r>
    <x v="11"/>
    <x v="3"/>
    <n v="12430"/>
  </r>
  <r>
    <x v="11"/>
    <x v="4"/>
    <n v="2529"/>
  </r>
  <r>
    <x v="11"/>
    <x v="5"/>
    <n v="42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CC132A-A597-413E-BD8A-E3CFB5150E06}" name="PivotTable3" cacheId="124" applyNumberFormats="0" applyBorderFormats="0" applyFontFormats="0" applyPatternFormats="0" applyAlignmentFormats="0" applyWidthHeightFormats="1" dataCaption="Values" updatedVersion="8" minRefreshableVersion="3" showDrill="0" useAutoFormatting="1" rowGrandTotals="0" colGrandTotals="0" itemPrintTitles="1" createdVersion="8" indent="0" compact="0" compactData="0" multipleFieldFilters="0" chartFormat="20">
  <location ref="A3:G16" firstHeaderRow="1" firstDataRow="2" firstDataCol="1"/>
  <pivotFields count="3">
    <pivotField axis="axisCol" compact="0" allDrilled="1" outline="0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compact="0" outline="0" subtotalTop="0" showAll="0" defaultSubtotal="0"/>
    <pivotField axis="axisRow" compact="0" allDrilled="1" outline="0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Fields count="1">
    <field x="0"/>
  </colFields>
  <colItems count="6">
    <i>
      <x/>
    </i>
    <i>
      <x v="1"/>
    </i>
    <i>
      <x v="2"/>
    </i>
    <i>
      <x v="3"/>
    </i>
    <i>
      <x v="4"/>
    </i>
    <i>
      <x v="5"/>
    </i>
  </colItems>
  <dataFields count="1">
    <dataField name="Sum of Daya" fld="1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</chartFormats>
  <pivotHierarchies count="1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colHierarchiesUsage count="1">
    <colHierarchyUsage hierarchyUsage="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ime Series!$A$1:$C$73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 Table 1" cacheId="7" applyNumberFormats="0" applyBorderFormats="0" applyFontFormats="0" applyPatternFormats="0" applyAlignmentFormats="0" applyWidthHeightFormats="0" dataCaption="" updatedVersion="8" compact="0" compactData="0">
  <location ref="A1:N9" firstHeaderRow="1" firstDataRow="2" firstDataCol="1"/>
  <pivotFields count="3">
    <pivotField name="Tahun" axis="axisCol" compact="0" numFmtId="15" outline="0" multipleItemSelectionAllowed="1" showAll="0" sortType="a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Jenis" axis="axisRow" compact="0" outline="0" multipleItemSelectionAllowed="1" showAll="0" sortType="ascending">
      <items count="7">
        <item x="0"/>
        <item x="5"/>
        <item x="2"/>
        <item x="3"/>
        <item x="4"/>
        <item x="1"/>
        <item t="default"/>
      </items>
    </pivotField>
    <pivotField name="Daya" dataField="1" compact="0" outline="0" multipleItemSelectionAllowed="1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0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SUM of Daya" fld="2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0"/>
  <sheetViews>
    <sheetView topLeftCell="C1" zoomScale="83" workbookViewId="0">
      <selection activeCell="G1" sqref="G1:S1"/>
    </sheetView>
  </sheetViews>
  <sheetFormatPr defaultColWidth="11.25" defaultRowHeight="15" customHeight="1" x14ac:dyDescent="0.25"/>
  <cols>
    <col min="1" max="1" width="10.375" customWidth="1"/>
    <col min="2" max="2" width="17.5" customWidth="1"/>
    <col min="3" max="6" width="10.5" customWidth="1"/>
    <col min="7" max="7" width="23" customWidth="1"/>
    <col min="8" max="8" width="10.5" customWidth="1"/>
    <col min="9" max="9" width="18.75" customWidth="1"/>
    <col min="10" max="26" width="10.5" customWidth="1"/>
  </cols>
  <sheetData>
    <row r="1" spans="1:19" ht="15.75" customHeight="1" x14ac:dyDescent="0.25">
      <c r="A1" s="1" t="s">
        <v>0</v>
      </c>
      <c r="B1" s="1" t="s">
        <v>1</v>
      </c>
      <c r="C1" s="1" t="s">
        <v>2</v>
      </c>
      <c r="G1" s="9" t="s">
        <v>3</v>
      </c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spans="1:19" ht="15.75" customHeight="1" x14ac:dyDescent="0.25">
      <c r="A2" s="2">
        <v>40178</v>
      </c>
      <c r="B2" s="1" t="s">
        <v>4</v>
      </c>
      <c r="C2" s="1">
        <v>3509</v>
      </c>
      <c r="G2" s="3" t="s">
        <v>5</v>
      </c>
      <c r="H2" s="4">
        <v>2009</v>
      </c>
      <c r="I2" s="4">
        <v>2010</v>
      </c>
      <c r="J2" s="4">
        <v>2011</v>
      </c>
      <c r="K2" s="4">
        <v>2012</v>
      </c>
      <c r="L2" s="4">
        <v>2013</v>
      </c>
      <c r="M2" s="4">
        <v>2014</v>
      </c>
      <c r="N2" s="4">
        <v>2015</v>
      </c>
      <c r="O2" s="4">
        <v>2017</v>
      </c>
      <c r="P2" s="4">
        <v>2018</v>
      </c>
      <c r="Q2" s="4">
        <v>2019</v>
      </c>
      <c r="R2" s="4">
        <v>2020</v>
      </c>
      <c r="S2" s="4">
        <v>2021</v>
      </c>
    </row>
    <row r="3" spans="1:19" ht="15.75" customHeight="1" x14ac:dyDescent="0.25">
      <c r="A3" s="2">
        <v>40178</v>
      </c>
      <c r="B3" s="1" t="s">
        <v>6</v>
      </c>
      <c r="C3" s="1">
        <v>8764</v>
      </c>
      <c r="G3" s="5" t="s">
        <v>4</v>
      </c>
      <c r="H3" s="6">
        <v>3509</v>
      </c>
      <c r="I3" s="6">
        <v>3683</v>
      </c>
      <c r="J3" s="6">
        <v>3891</v>
      </c>
      <c r="K3" s="6">
        <v>4509</v>
      </c>
      <c r="L3" s="6">
        <v>4493</v>
      </c>
      <c r="M3" s="6">
        <v>4713</v>
      </c>
      <c r="N3" s="6">
        <v>4740</v>
      </c>
      <c r="O3" s="6">
        <v>4853</v>
      </c>
      <c r="P3" s="6">
        <v>5436</v>
      </c>
      <c r="Q3" s="6">
        <v>5447</v>
      </c>
      <c r="R3" s="6">
        <v>5513</v>
      </c>
      <c r="S3" s="6">
        <v>5661</v>
      </c>
    </row>
    <row r="4" spans="1:19" ht="15.75" customHeight="1" x14ac:dyDescent="0.25">
      <c r="A4" s="2">
        <v>40178</v>
      </c>
      <c r="B4" s="1" t="s">
        <v>7</v>
      </c>
      <c r="C4" s="1">
        <v>2571</v>
      </c>
      <c r="G4" s="5" t="s">
        <v>6</v>
      </c>
      <c r="H4" s="6">
        <v>8764</v>
      </c>
      <c r="I4" s="6">
        <v>13046</v>
      </c>
      <c r="J4" s="6">
        <v>15857</v>
      </c>
      <c r="K4" s="6">
        <v>22587</v>
      </c>
      <c r="L4" s="6">
        <v>22768</v>
      </c>
      <c r="M4" s="6">
        <v>27651</v>
      </c>
      <c r="N4" s="6">
        <v>28777</v>
      </c>
      <c r="O4" s="6">
        <v>28905</v>
      </c>
      <c r="P4" s="6">
        <v>32026</v>
      </c>
      <c r="Q4" s="6">
        <v>33095</v>
      </c>
      <c r="R4" s="6">
        <v>32920</v>
      </c>
      <c r="S4" s="6">
        <v>33092</v>
      </c>
    </row>
    <row r="5" spans="1:19" ht="15.75" customHeight="1" x14ac:dyDescent="0.25">
      <c r="A5" s="2">
        <v>40178</v>
      </c>
      <c r="B5" s="1" t="s">
        <v>8</v>
      </c>
      <c r="C5" s="1">
        <v>7371</v>
      </c>
      <c r="G5" s="5" t="s">
        <v>7</v>
      </c>
      <c r="H5" s="6">
        <v>2571</v>
      </c>
      <c r="I5" s="6">
        <v>3635</v>
      </c>
      <c r="J5" s="6">
        <v>3217</v>
      </c>
      <c r="K5" s="6">
        <v>3548</v>
      </c>
      <c r="L5" s="6">
        <v>3469</v>
      </c>
      <c r="M5" s="6">
        <v>3845</v>
      </c>
      <c r="N5" s="6">
        <v>3832</v>
      </c>
      <c r="O5" s="6">
        <v>3674</v>
      </c>
      <c r="P5" s="6">
        <v>5467</v>
      </c>
      <c r="Q5" s="6">
        <v>4998</v>
      </c>
      <c r="R5" s="6">
        <v>5174</v>
      </c>
      <c r="S5" s="6">
        <v>5083</v>
      </c>
    </row>
    <row r="6" spans="1:19" ht="15.75" customHeight="1" x14ac:dyDescent="0.25">
      <c r="A6" s="2">
        <v>40178</v>
      </c>
      <c r="B6" s="1" t="s">
        <v>9</v>
      </c>
      <c r="C6" s="1">
        <v>415</v>
      </c>
      <c r="G6" s="5" t="s">
        <v>8</v>
      </c>
      <c r="H6" s="6">
        <v>7371</v>
      </c>
      <c r="I6" s="6">
        <v>8029</v>
      </c>
      <c r="J6" s="6">
        <v>8799</v>
      </c>
      <c r="K6" s="6">
        <v>9393</v>
      </c>
      <c r="L6" s="6">
        <v>9573</v>
      </c>
      <c r="M6" s="6">
        <v>9959</v>
      </c>
      <c r="N6" s="6">
        <v>9947</v>
      </c>
      <c r="O6" s="6">
        <v>11597</v>
      </c>
      <c r="P6" s="6">
        <v>11249</v>
      </c>
      <c r="Q6" s="6">
        <v>12056</v>
      </c>
      <c r="R6" s="6">
        <v>11993</v>
      </c>
      <c r="S6" s="6">
        <v>12430</v>
      </c>
    </row>
    <row r="7" spans="1:19" ht="15.75" customHeight="1" x14ac:dyDescent="0.25">
      <c r="A7" s="2">
        <v>40178</v>
      </c>
      <c r="B7" s="1" t="s">
        <v>10</v>
      </c>
      <c r="C7" s="1">
        <v>2981</v>
      </c>
      <c r="G7" s="5" t="s">
        <v>9</v>
      </c>
      <c r="H7" s="6">
        <v>415</v>
      </c>
      <c r="I7" s="6">
        <v>1130</v>
      </c>
      <c r="J7" s="6">
        <v>943</v>
      </c>
      <c r="K7" s="6">
        <v>1207</v>
      </c>
      <c r="L7" s="6">
        <v>1229</v>
      </c>
      <c r="M7" s="6">
        <v>1325</v>
      </c>
      <c r="N7" s="6">
        <v>1335</v>
      </c>
      <c r="O7" s="6">
        <v>1503</v>
      </c>
      <c r="P7" s="6">
        <v>1986</v>
      </c>
      <c r="Q7" s="6">
        <v>1986</v>
      </c>
      <c r="R7" s="6">
        <v>1979</v>
      </c>
      <c r="S7" s="6">
        <v>2529</v>
      </c>
    </row>
    <row r="8" spans="1:19" ht="15.75" customHeight="1" x14ac:dyDescent="0.25">
      <c r="A8" s="2">
        <v>40543</v>
      </c>
      <c r="B8" s="1" t="s">
        <v>4</v>
      </c>
      <c r="C8" s="1">
        <v>3683</v>
      </c>
      <c r="G8" s="5" t="s">
        <v>10</v>
      </c>
      <c r="H8" s="6">
        <v>2981</v>
      </c>
      <c r="I8" s="6">
        <v>3328</v>
      </c>
      <c r="J8" s="6">
        <v>2809</v>
      </c>
      <c r="K8" s="6">
        <v>3333</v>
      </c>
      <c r="L8" s="6">
        <v>3353</v>
      </c>
      <c r="M8" s="6">
        <v>5024</v>
      </c>
      <c r="N8" s="6">
        <v>5064</v>
      </c>
      <c r="O8" s="6">
        <v>6919</v>
      </c>
      <c r="P8" s="6">
        <v>6384</v>
      </c>
      <c r="Q8" s="6">
        <v>5009</v>
      </c>
      <c r="R8" s="6">
        <v>5388</v>
      </c>
      <c r="S8" s="6">
        <v>4203</v>
      </c>
    </row>
    <row r="9" spans="1:19" ht="15.75" customHeight="1" x14ac:dyDescent="0.25">
      <c r="A9" s="2">
        <v>40543</v>
      </c>
      <c r="B9" s="1" t="s">
        <v>6</v>
      </c>
      <c r="C9" s="1">
        <v>13046</v>
      </c>
      <c r="G9" s="5" t="s">
        <v>11</v>
      </c>
      <c r="H9" s="6">
        <v>25611</v>
      </c>
      <c r="I9" s="6">
        <v>32851</v>
      </c>
      <c r="J9" s="6">
        <v>35516</v>
      </c>
      <c r="K9" s="6">
        <v>44577</v>
      </c>
      <c r="L9" s="6">
        <v>44885</v>
      </c>
      <c r="M9" s="6">
        <v>52517</v>
      </c>
      <c r="N9" s="6">
        <v>53695</v>
      </c>
      <c r="O9" s="6">
        <v>57451</v>
      </c>
      <c r="P9" s="6">
        <v>62548</v>
      </c>
      <c r="Q9" s="6">
        <v>62591</v>
      </c>
      <c r="R9" s="6">
        <v>62967</v>
      </c>
      <c r="S9" s="6">
        <v>62998</v>
      </c>
    </row>
    <row r="10" spans="1:19" ht="15.75" customHeight="1" x14ac:dyDescent="0.25">
      <c r="A10" s="2">
        <v>40543</v>
      </c>
      <c r="B10" s="1" t="s">
        <v>7</v>
      </c>
      <c r="C10" s="1">
        <v>3635</v>
      </c>
    </row>
    <row r="11" spans="1:19" ht="15.75" customHeight="1" x14ac:dyDescent="0.25">
      <c r="A11" s="2">
        <v>40543</v>
      </c>
      <c r="B11" s="1" t="s">
        <v>8</v>
      </c>
      <c r="C11" s="1">
        <v>8029</v>
      </c>
    </row>
    <row r="12" spans="1:19" ht="15.75" customHeight="1" x14ac:dyDescent="0.25">
      <c r="A12" s="2">
        <v>40543</v>
      </c>
      <c r="B12" s="1" t="s">
        <v>9</v>
      </c>
      <c r="C12" s="1">
        <v>1130</v>
      </c>
    </row>
    <row r="13" spans="1:19" ht="15.75" customHeight="1" x14ac:dyDescent="0.25">
      <c r="A13" s="2">
        <v>40543</v>
      </c>
      <c r="B13" s="1" t="s">
        <v>10</v>
      </c>
      <c r="C13" s="1">
        <v>3328</v>
      </c>
    </row>
    <row r="14" spans="1:19" ht="15.75" customHeight="1" x14ac:dyDescent="0.25">
      <c r="A14" s="2">
        <v>40908</v>
      </c>
      <c r="B14" s="1" t="s">
        <v>4</v>
      </c>
      <c r="C14" s="1">
        <v>3891</v>
      </c>
    </row>
    <row r="15" spans="1:19" ht="15.75" customHeight="1" x14ac:dyDescent="0.25">
      <c r="A15" s="2">
        <v>40908</v>
      </c>
      <c r="B15" s="1" t="s">
        <v>6</v>
      </c>
      <c r="C15" s="1">
        <v>15857</v>
      </c>
    </row>
    <row r="16" spans="1:19" ht="15.75" customHeight="1" x14ac:dyDescent="0.25">
      <c r="A16" s="2">
        <v>40908</v>
      </c>
      <c r="B16" s="1" t="s">
        <v>7</v>
      </c>
      <c r="C16" s="1">
        <v>3217</v>
      </c>
    </row>
    <row r="17" spans="1:3" ht="15.75" customHeight="1" x14ac:dyDescent="0.25">
      <c r="A17" s="2">
        <v>40908</v>
      </c>
      <c r="B17" s="1" t="s">
        <v>8</v>
      </c>
      <c r="C17" s="1">
        <v>8799</v>
      </c>
    </row>
    <row r="18" spans="1:3" ht="15.75" customHeight="1" x14ac:dyDescent="0.25">
      <c r="A18" s="2">
        <v>40908</v>
      </c>
      <c r="B18" s="1" t="s">
        <v>9</v>
      </c>
      <c r="C18" s="1">
        <v>943</v>
      </c>
    </row>
    <row r="19" spans="1:3" ht="15.75" customHeight="1" x14ac:dyDescent="0.25">
      <c r="A19" s="2">
        <v>40908</v>
      </c>
      <c r="B19" s="1" t="s">
        <v>10</v>
      </c>
      <c r="C19" s="1">
        <v>2809</v>
      </c>
    </row>
    <row r="20" spans="1:3" ht="15.75" customHeight="1" x14ac:dyDescent="0.25">
      <c r="A20" s="2">
        <v>41274</v>
      </c>
      <c r="B20" s="1" t="s">
        <v>4</v>
      </c>
      <c r="C20" s="1">
        <v>4509</v>
      </c>
    </row>
    <row r="21" spans="1:3" ht="15.75" customHeight="1" x14ac:dyDescent="0.25">
      <c r="A21" s="2">
        <v>41274</v>
      </c>
      <c r="B21" s="1" t="s">
        <v>6</v>
      </c>
      <c r="C21" s="1">
        <v>22587</v>
      </c>
    </row>
    <row r="22" spans="1:3" ht="15.75" customHeight="1" x14ac:dyDescent="0.25">
      <c r="A22" s="2">
        <v>41274</v>
      </c>
      <c r="B22" s="1" t="s">
        <v>7</v>
      </c>
      <c r="C22" s="1">
        <v>3548</v>
      </c>
    </row>
    <row r="23" spans="1:3" ht="15.75" customHeight="1" x14ac:dyDescent="0.25">
      <c r="A23" s="2">
        <v>41274</v>
      </c>
      <c r="B23" s="1" t="s">
        <v>8</v>
      </c>
      <c r="C23" s="1">
        <v>9393</v>
      </c>
    </row>
    <row r="24" spans="1:3" ht="15.75" customHeight="1" x14ac:dyDescent="0.25">
      <c r="A24" s="2">
        <v>41274</v>
      </c>
      <c r="B24" s="1" t="s">
        <v>9</v>
      </c>
      <c r="C24" s="1">
        <v>1207</v>
      </c>
    </row>
    <row r="25" spans="1:3" ht="15.75" customHeight="1" x14ac:dyDescent="0.25">
      <c r="A25" s="2">
        <v>41274</v>
      </c>
      <c r="B25" s="1" t="s">
        <v>10</v>
      </c>
      <c r="C25" s="1">
        <v>3333</v>
      </c>
    </row>
    <row r="26" spans="1:3" ht="15.75" customHeight="1" x14ac:dyDescent="0.25">
      <c r="A26" s="2">
        <v>41639</v>
      </c>
      <c r="B26" s="1" t="s">
        <v>4</v>
      </c>
      <c r="C26" s="1">
        <v>4493</v>
      </c>
    </row>
    <row r="27" spans="1:3" ht="15.75" customHeight="1" x14ac:dyDescent="0.25">
      <c r="A27" s="2">
        <v>41639</v>
      </c>
      <c r="B27" s="1" t="s">
        <v>6</v>
      </c>
      <c r="C27" s="1">
        <v>22768</v>
      </c>
    </row>
    <row r="28" spans="1:3" ht="15.75" customHeight="1" x14ac:dyDescent="0.25">
      <c r="A28" s="2">
        <v>41639</v>
      </c>
      <c r="B28" s="1" t="s">
        <v>7</v>
      </c>
      <c r="C28" s="1">
        <v>3469</v>
      </c>
    </row>
    <row r="29" spans="1:3" ht="15.75" customHeight="1" x14ac:dyDescent="0.25">
      <c r="A29" s="2">
        <v>41639</v>
      </c>
      <c r="B29" s="1" t="s">
        <v>8</v>
      </c>
      <c r="C29" s="1">
        <v>9573</v>
      </c>
    </row>
    <row r="30" spans="1:3" ht="15.75" customHeight="1" x14ac:dyDescent="0.25">
      <c r="A30" s="2">
        <v>41639</v>
      </c>
      <c r="B30" s="1" t="s">
        <v>9</v>
      </c>
      <c r="C30" s="1">
        <v>1229</v>
      </c>
    </row>
    <row r="31" spans="1:3" ht="15.75" customHeight="1" x14ac:dyDescent="0.25">
      <c r="A31" s="2">
        <v>41639</v>
      </c>
      <c r="B31" s="1" t="s">
        <v>10</v>
      </c>
      <c r="C31" s="1">
        <v>3353</v>
      </c>
    </row>
    <row r="32" spans="1:3" ht="15.75" customHeight="1" x14ac:dyDescent="0.25">
      <c r="A32" s="2">
        <v>42004</v>
      </c>
      <c r="B32" s="1" t="s">
        <v>4</v>
      </c>
      <c r="C32" s="1">
        <v>4713</v>
      </c>
    </row>
    <row r="33" spans="1:10" ht="15.75" customHeight="1" x14ac:dyDescent="0.25">
      <c r="A33" s="2">
        <v>42004</v>
      </c>
      <c r="B33" s="1" t="s">
        <v>6</v>
      </c>
      <c r="C33" s="1">
        <v>27651</v>
      </c>
    </row>
    <row r="34" spans="1:10" ht="15.75" customHeight="1" x14ac:dyDescent="0.25">
      <c r="A34" s="2">
        <v>42004</v>
      </c>
      <c r="B34" s="1" t="s">
        <v>7</v>
      </c>
      <c r="C34" s="1">
        <v>3845</v>
      </c>
    </row>
    <row r="35" spans="1:10" ht="15.75" customHeight="1" x14ac:dyDescent="0.25">
      <c r="A35" s="2">
        <v>42004</v>
      </c>
      <c r="B35" s="1" t="s">
        <v>8</v>
      </c>
      <c r="C35" s="1">
        <v>9959</v>
      </c>
    </row>
    <row r="36" spans="1:10" ht="15.75" customHeight="1" x14ac:dyDescent="0.25">
      <c r="A36" s="2">
        <v>42004</v>
      </c>
      <c r="B36" s="1" t="s">
        <v>9</v>
      </c>
      <c r="C36" s="1">
        <v>1325</v>
      </c>
    </row>
    <row r="37" spans="1:10" ht="15.75" customHeight="1" x14ac:dyDescent="0.25">
      <c r="A37" s="2">
        <v>42004</v>
      </c>
      <c r="B37" s="1" t="s">
        <v>10</v>
      </c>
      <c r="C37" s="1">
        <v>5024</v>
      </c>
    </row>
    <row r="38" spans="1:10" ht="15.75" customHeight="1" x14ac:dyDescent="0.25">
      <c r="A38" s="2">
        <v>42369</v>
      </c>
      <c r="B38" s="1" t="s">
        <v>4</v>
      </c>
      <c r="C38" s="1">
        <v>4740</v>
      </c>
    </row>
    <row r="39" spans="1:10" ht="15.75" customHeight="1" x14ac:dyDescent="0.25">
      <c r="A39" s="2">
        <v>42369</v>
      </c>
      <c r="B39" s="1" t="s">
        <v>6</v>
      </c>
      <c r="C39" s="1">
        <v>28777</v>
      </c>
    </row>
    <row r="40" spans="1:10" ht="15.75" customHeight="1" x14ac:dyDescent="0.25">
      <c r="A40" s="2">
        <v>42369</v>
      </c>
      <c r="B40" s="1" t="s">
        <v>7</v>
      </c>
      <c r="C40" s="1">
        <v>3832</v>
      </c>
    </row>
    <row r="41" spans="1:10" ht="15.75" customHeight="1" x14ac:dyDescent="0.25">
      <c r="A41" s="2">
        <v>42369</v>
      </c>
      <c r="B41" s="1" t="s">
        <v>8</v>
      </c>
      <c r="C41" s="1">
        <v>9947</v>
      </c>
    </row>
    <row r="42" spans="1:10" ht="15.75" customHeight="1" x14ac:dyDescent="0.25">
      <c r="A42" s="2">
        <v>42369</v>
      </c>
      <c r="B42" s="1" t="s">
        <v>9</v>
      </c>
      <c r="C42" s="1">
        <v>1335</v>
      </c>
    </row>
    <row r="43" spans="1:10" ht="15.75" customHeight="1" x14ac:dyDescent="0.25">
      <c r="A43" s="2">
        <v>42369</v>
      </c>
      <c r="B43" s="1" t="s">
        <v>10</v>
      </c>
      <c r="C43" s="1">
        <v>5064</v>
      </c>
    </row>
    <row r="44" spans="1:10" ht="15.75" customHeight="1" x14ac:dyDescent="0.25">
      <c r="A44" s="2">
        <v>43100</v>
      </c>
      <c r="B44" s="1" t="s">
        <v>4</v>
      </c>
      <c r="C44" s="1">
        <v>4853</v>
      </c>
    </row>
    <row r="45" spans="1:10" ht="15.75" customHeight="1" x14ac:dyDescent="0.25">
      <c r="A45" s="2">
        <v>43100</v>
      </c>
      <c r="B45" s="1" t="s">
        <v>6</v>
      </c>
      <c r="C45" s="1">
        <v>28905</v>
      </c>
    </row>
    <row r="46" spans="1:10" ht="15.75" customHeight="1" x14ac:dyDescent="0.25">
      <c r="A46" s="2">
        <v>43100</v>
      </c>
      <c r="B46" s="1" t="s">
        <v>7</v>
      </c>
      <c r="C46" s="1">
        <v>3674</v>
      </c>
      <c r="I46" s="7"/>
      <c r="J46" s="8"/>
    </row>
    <row r="47" spans="1:10" ht="15.75" customHeight="1" x14ac:dyDescent="0.25">
      <c r="A47" s="2">
        <v>43100</v>
      </c>
      <c r="B47" s="1" t="s">
        <v>8</v>
      </c>
      <c r="C47" s="1">
        <v>11597</v>
      </c>
      <c r="I47" s="7"/>
      <c r="J47" s="8"/>
    </row>
    <row r="48" spans="1:10" ht="15.75" customHeight="1" x14ac:dyDescent="0.25">
      <c r="A48" s="2">
        <v>43100</v>
      </c>
      <c r="B48" s="1" t="s">
        <v>9</v>
      </c>
      <c r="C48" s="1">
        <v>1503</v>
      </c>
      <c r="I48" s="7"/>
      <c r="J48" s="8"/>
    </row>
    <row r="49" spans="1:10" ht="15.75" customHeight="1" x14ac:dyDescent="0.25">
      <c r="A49" s="2">
        <v>43100</v>
      </c>
      <c r="B49" s="1" t="s">
        <v>10</v>
      </c>
      <c r="C49" s="1">
        <v>6919</v>
      </c>
      <c r="I49" s="7"/>
      <c r="J49" s="8"/>
    </row>
    <row r="50" spans="1:10" ht="15.75" customHeight="1" x14ac:dyDescent="0.25">
      <c r="A50" s="2">
        <v>43465</v>
      </c>
      <c r="B50" s="1" t="s">
        <v>4</v>
      </c>
      <c r="C50" s="1">
        <v>5436</v>
      </c>
      <c r="I50" s="7"/>
      <c r="J50" s="8"/>
    </row>
    <row r="51" spans="1:10" ht="15.75" customHeight="1" x14ac:dyDescent="0.25">
      <c r="A51" s="2">
        <v>43465</v>
      </c>
      <c r="B51" s="1" t="s">
        <v>6</v>
      </c>
      <c r="C51" s="1">
        <v>32026</v>
      </c>
    </row>
    <row r="52" spans="1:10" ht="15.75" customHeight="1" x14ac:dyDescent="0.25">
      <c r="A52" s="2">
        <v>43465</v>
      </c>
      <c r="B52" s="1" t="s">
        <v>7</v>
      </c>
      <c r="C52" s="1">
        <v>5467</v>
      </c>
    </row>
    <row r="53" spans="1:10" ht="15.75" customHeight="1" x14ac:dyDescent="0.25">
      <c r="A53" s="2">
        <v>43465</v>
      </c>
      <c r="B53" s="1" t="s">
        <v>8</v>
      </c>
      <c r="C53" s="1">
        <v>11249</v>
      </c>
    </row>
    <row r="54" spans="1:10" ht="15.75" customHeight="1" x14ac:dyDescent="0.25">
      <c r="A54" s="2">
        <v>43465</v>
      </c>
      <c r="B54" s="1" t="s">
        <v>9</v>
      </c>
      <c r="C54" s="1">
        <v>1986</v>
      </c>
    </row>
    <row r="55" spans="1:10" ht="15.75" customHeight="1" x14ac:dyDescent="0.25">
      <c r="A55" s="2">
        <v>43465</v>
      </c>
      <c r="B55" s="1" t="s">
        <v>10</v>
      </c>
      <c r="C55" s="1">
        <v>6384</v>
      </c>
    </row>
    <row r="56" spans="1:10" ht="15.75" customHeight="1" x14ac:dyDescent="0.25">
      <c r="A56" s="2">
        <v>43830</v>
      </c>
      <c r="B56" s="1" t="s">
        <v>4</v>
      </c>
      <c r="C56" s="1">
        <v>5447</v>
      </c>
    </row>
    <row r="57" spans="1:10" ht="15.75" customHeight="1" x14ac:dyDescent="0.25">
      <c r="A57" s="2">
        <v>43830</v>
      </c>
      <c r="B57" s="1" t="s">
        <v>6</v>
      </c>
      <c r="C57" s="1">
        <v>33095</v>
      </c>
    </row>
    <row r="58" spans="1:10" ht="15.75" customHeight="1" x14ac:dyDescent="0.25">
      <c r="A58" s="2">
        <v>43830</v>
      </c>
      <c r="B58" s="1" t="s">
        <v>7</v>
      </c>
      <c r="C58" s="1">
        <v>4998</v>
      </c>
    </row>
    <row r="59" spans="1:10" ht="15.75" customHeight="1" x14ac:dyDescent="0.25">
      <c r="A59" s="2">
        <v>43830</v>
      </c>
      <c r="B59" s="1" t="s">
        <v>8</v>
      </c>
      <c r="C59" s="1">
        <v>12056</v>
      </c>
    </row>
    <row r="60" spans="1:10" ht="15.75" customHeight="1" x14ac:dyDescent="0.25">
      <c r="A60" s="2">
        <v>43830</v>
      </c>
      <c r="B60" s="1" t="s">
        <v>9</v>
      </c>
      <c r="C60" s="1">
        <v>1986</v>
      </c>
    </row>
    <row r="61" spans="1:10" ht="15.75" customHeight="1" x14ac:dyDescent="0.25">
      <c r="A61" s="2">
        <v>43830</v>
      </c>
      <c r="B61" s="1" t="s">
        <v>10</v>
      </c>
      <c r="C61" s="1">
        <v>5009</v>
      </c>
    </row>
    <row r="62" spans="1:10" ht="15.75" customHeight="1" x14ac:dyDescent="0.25">
      <c r="A62" s="2">
        <v>44196</v>
      </c>
      <c r="B62" s="1" t="s">
        <v>4</v>
      </c>
      <c r="C62" s="1">
        <v>5513</v>
      </c>
    </row>
    <row r="63" spans="1:10" ht="15.75" customHeight="1" x14ac:dyDescent="0.25">
      <c r="A63" s="2">
        <v>44196</v>
      </c>
      <c r="B63" s="1" t="s">
        <v>6</v>
      </c>
      <c r="C63" s="1">
        <v>32920</v>
      </c>
    </row>
    <row r="64" spans="1:10" ht="15.75" customHeight="1" x14ac:dyDescent="0.25">
      <c r="A64" s="2">
        <v>44196</v>
      </c>
      <c r="B64" s="1" t="s">
        <v>7</v>
      </c>
      <c r="C64" s="1">
        <v>5174</v>
      </c>
    </row>
    <row r="65" spans="1:3" ht="15.75" customHeight="1" x14ac:dyDescent="0.25">
      <c r="A65" s="2">
        <v>44196</v>
      </c>
      <c r="B65" s="1" t="s">
        <v>8</v>
      </c>
      <c r="C65" s="1">
        <v>11993</v>
      </c>
    </row>
    <row r="66" spans="1:3" ht="15.75" customHeight="1" x14ac:dyDescent="0.25">
      <c r="A66" s="2">
        <v>44196</v>
      </c>
      <c r="B66" s="1" t="s">
        <v>9</v>
      </c>
      <c r="C66" s="1">
        <v>1979</v>
      </c>
    </row>
    <row r="67" spans="1:3" ht="15.75" customHeight="1" x14ac:dyDescent="0.25">
      <c r="A67" s="2">
        <v>44196</v>
      </c>
      <c r="B67" s="1" t="s">
        <v>10</v>
      </c>
      <c r="C67" s="1">
        <v>5388</v>
      </c>
    </row>
    <row r="68" spans="1:3" ht="15.75" customHeight="1" x14ac:dyDescent="0.25">
      <c r="A68" s="2">
        <v>44561</v>
      </c>
      <c r="B68" s="1" t="s">
        <v>4</v>
      </c>
      <c r="C68" s="1">
        <v>5661</v>
      </c>
    </row>
    <row r="69" spans="1:3" ht="15.75" customHeight="1" x14ac:dyDescent="0.25">
      <c r="A69" s="2">
        <v>44561</v>
      </c>
      <c r="B69" s="1" t="s">
        <v>6</v>
      </c>
      <c r="C69" s="1">
        <v>33092</v>
      </c>
    </row>
    <row r="70" spans="1:3" ht="15.75" customHeight="1" x14ac:dyDescent="0.25">
      <c r="A70" s="2">
        <v>44561</v>
      </c>
      <c r="B70" s="1" t="s">
        <v>7</v>
      </c>
      <c r="C70" s="1">
        <v>5083</v>
      </c>
    </row>
    <row r="71" spans="1:3" ht="15.75" customHeight="1" x14ac:dyDescent="0.25">
      <c r="A71" s="2">
        <v>44561</v>
      </c>
      <c r="B71" s="1" t="s">
        <v>8</v>
      </c>
      <c r="C71" s="1">
        <v>12430</v>
      </c>
    </row>
    <row r="72" spans="1:3" ht="15.75" customHeight="1" x14ac:dyDescent="0.25">
      <c r="A72" s="2">
        <v>44561</v>
      </c>
      <c r="B72" s="1" t="s">
        <v>9</v>
      </c>
      <c r="C72" s="1">
        <v>2529</v>
      </c>
    </row>
    <row r="73" spans="1:3" ht="15.75" customHeight="1" x14ac:dyDescent="0.25">
      <c r="A73" s="2">
        <v>44561</v>
      </c>
      <c r="B73" s="1" t="s">
        <v>10</v>
      </c>
      <c r="C73" s="1">
        <v>4203</v>
      </c>
    </row>
    <row r="74" spans="1:3" ht="15.75" customHeight="1" x14ac:dyDescent="0.25"/>
    <row r="75" spans="1:3" ht="15.75" customHeight="1" x14ac:dyDescent="0.25"/>
    <row r="76" spans="1:3" ht="15.75" customHeight="1" x14ac:dyDescent="0.25"/>
    <row r="77" spans="1:3" ht="15.75" customHeight="1" x14ac:dyDescent="0.25"/>
    <row r="78" spans="1:3" ht="15.75" customHeight="1" x14ac:dyDescent="0.25"/>
    <row r="79" spans="1:3" ht="15.75" customHeight="1" x14ac:dyDescent="0.25"/>
    <row r="80" spans="1:3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G1:S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9CF3-7FA7-4B5D-AF75-2E79BCDFF28C}">
  <dimension ref="A3:G16"/>
  <sheetViews>
    <sheetView topLeftCell="A8" zoomScale="70" zoomScaleNormal="70" workbookViewId="0">
      <selection activeCell="J58" sqref="J58"/>
    </sheetView>
  </sheetViews>
  <sheetFormatPr defaultRowHeight="15.75" x14ac:dyDescent="0.25"/>
  <cols>
    <col min="1" max="1" width="14.25" bestFit="1" customWidth="1"/>
    <col min="2" max="2" width="10" bestFit="1" customWidth="1"/>
    <col min="3" max="3" width="12.5" bestFit="1" customWidth="1"/>
    <col min="4" max="4" width="10.5" bestFit="1" customWidth="1"/>
    <col min="5" max="5" width="14.5" bestFit="1" customWidth="1"/>
    <col min="6" max="6" width="17.625" bestFit="1" customWidth="1"/>
    <col min="7" max="8" width="10.875" bestFit="1" customWidth="1"/>
    <col min="9" max="147" width="17.625" bestFit="1" customWidth="1"/>
  </cols>
  <sheetData>
    <row r="3" spans="1:7" x14ac:dyDescent="0.25">
      <c r="A3" s="29" t="s">
        <v>26</v>
      </c>
      <c r="B3" s="29" t="s">
        <v>1</v>
      </c>
    </row>
    <row r="4" spans="1:7" x14ac:dyDescent="0.25">
      <c r="A4" s="29" t="s">
        <v>27</v>
      </c>
      <c r="B4" t="s">
        <v>4</v>
      </c>
      <c r="C4" t="s">
        <v>10</v>
      </c>
      <c r="D4" t="s">
        <v>7</v>
      </c>
      <c r="E4" t="s">
        <v>8</v>
      </c>
      <c r="F4" t="s">
        <v>9</v>
      </c>
      <c r="G4" t="s">
        <v>6</v>
      </c>
    </row>
    <row r="5" spans="1:7" x14ac:dyDescent="0.25">
      <c r="A5" t="s">
        <v>14</v>
      </c>
      <c r="B5" s="23">
        <v>3509</v>
      </c>
      <c r="C5" s="23">
        <v>2981</v>
      </c>
      <c r="D5" s="23">
        <v>2571</v>
      </c>
      <c r="E5" s="23">
        <v>7371</v>
      </c>
      <c r="F5" s="23">
        <v>415</v>
      </c>
      <c r="G5" s="23">
        <v>8764</v>
      </c>
    </row>
    <row r="6" spans="1:7" x14ac:dyDescent="0.25">
      <c r="A6" t="s">
        <v>15</v>
      </c>
      <c r="B6" s="23">
        <v>3683</v>
      </c>
      <c r="C6" s="23">
        <v>3328</v>
      </c>
      <c r="D6" s="23">
        <v>3635</v>
      </c>
      <c r="E6" s="23">
        <v>8029</v>
      </c>
      <c r="F6" s="23">
        <v>1130</v>
      </c>
      <c r="G6" s="23">
        <v>13046</v>
      </c>
    </row>
    <row r="7" spans="1:7" x14ac:dyDescent="0.25">
      <c r="A7" t="s">
        <v>16</v>
      </c>
      <c r="B7" s="23">
        <v>3891</v>
      </c>
      <c r="C7" s="23">
        <v>2809</v>
      </c>
      <c r="D7" s="23">
        <v>3217</v>
      </c>
      <c r="E7" s="23">
        <v>8799</v>
      </c>
      <c r="F7" s="23">
        <v>943</v>
      </c>
      <c r="G7" s="23">
        <v>15857</v>
      </c>
    </row>
    <row r="8" spans="1:7" x14ac:dyDescent="0.25">
      <c r="A8" t="s">
        <v>17</v>
      </c>
      <c r="B8" s="23">
        <v>4509</v>
      </c>
      <c r="C8" s="23">
        <v>3333</v>
      </c>
      <c r="D8" s="23">
        <v>3548</v>
      </c>
      <c r="E8" s="23">
        <v>9393</v>
      </c>
      <c r="F8" s="23">
        <v>1207</v>
      </c>
      <c r="G8" s="23">
        <v>22587</v>
      </c>
    </row>
    <row r="9" spans="1:7" x14ac:dyDescent="0.25">
      <c r="A9" t="s">
        <v>18</v>
      </c>
      <c r="B9" s="23">
        <v>4493</v>
      </c>
      <c r="C9" s="23">
        <v>3353</v>
      </c>
      <c r="D9" s="23">
        <v>3469</v>
      </c>
      <c r="E9" s="23">
        <v>9573</v>
      </c>
      <c r="F9" s="23">
        <v>1229</v>
      </c>
      <c r="G9" s="23">
        <v>22768</v>
      </c>
    </row>
    <row r="10" spans="1:7" x14ac:dyDescent="0.25">
      <c r="A10" t="s">
        <v>19</v>
      </c>
      <c r="B10" s="23">
        <v>4713</v>
      </c>
      <c r="C10" s="23">
        <v>5024</v>
      </c>
      <c r="D10" s="23">
        <v>3845</v>
      </c>
      <c r="E10" s="23">
        <v>9959</v>
      </c>
      <c r="F10" s="23">
        <v>1325</v>
      </c>
      <c r="G10" s="23">
        <v>27651</v>
      </c>
    </row>
    <row r="11" spans="1:7" x14ac:dyDescent="0.25">
      <c r="A11" t="s">
        <v>20</v>
      </c>
      <c r="B11" s="23">
        <v>4740</v>
      </c>
      <c r="C11" s="23">
        <v>5064</v>
      </c>
      <c r="D11" s="23">
        <v>3832</v>
      </c>
      <c r="E11" s="23">
        <v>9947</v>
      </c>
      <c r="F11" s="23">
        <v>1335</v>
      </c>
      <c r="G11" s="23">
        <v>28777</v>
      </c>
    </row>
    <row r="12" spans="1:7" x14ac:dyDescent="0.25">
      <c r="A12" t="s">
        <v>21</v>
      </c>
      <c r="B12" s="23">
        <v>4853</v>
      </c>
      <c r="C12" s="23">
        <v>6919</v>
      </c>
      <c r="D12" s="23">
        <v>3674</v>
      </c>
      <c r="E12" s="23">
        <v>11597</v>
      </c>
      <c r="F12" s="23">
        <v>1503</v>
      </c>
      <c r="G12" s="23">
        <v>28905</v>
      </c>
    </row>
    <row r="13" spans="1:7" x14ac:dyDescent="0.25">
      <c r="A13" t="s">
        <v>22</v>
      </c>
      <c r="B13" s="23">
        <v>5436</v>
      </c>
      <c r="C13" s="23">
        <v>6384</v>
      </c>
      <c r="D13" s="23">
        <v>5467</v>
      </c>
      <c r="E13" s="23">
        <v>11249</v>
      </c>
      <c r="F13" s="23">
        <v>1986</v>
      </c>
      <c r="G13" s="23">
        <v>32026</v>
      </c>
    </row>
    <row r="14" spans="1:7" x14ac:dyDescent="0.25">
      <c r="A14" t="s">
        <v>23</v>
      </c>
      <c r="B14" s="23">
        <v>5447</v>
      </c>
      <c r="C14" s="23">
        <v>5009</v>
      </c>
      <c r="D14" s="23">
        <v>4998</v>
      </c>
      <c r="E14" s="23">
        <v>12056</v>
      </c>
      <c r="F14" s="23">
        <v>1986</v>
      </c>
      <c r="G14" s="23">
        <v>33095</v>
      </c>
    </row>
    <row r="15" spans="1:7" x14ac:dyDescent="0.25">
      <c r="A15" t="s">
        <v>24</v>
      </c>
      <c r="B15" s="23">
        <v>5513</v>
      </c>
      <c r="C15" s="23">
        <v>5388</v>
      </c>
      <c r="D15" s="23">
        <v>5174</v>
      </c>
      <c r="E15" s="23">
        <v>11993</v>
      </c>
      <c r="F15" s="23">
        <v>1979</v>
      </c>
      <c r="G15" s="23">
        <v>32920</v>
      </c>
    </row>
    <row r="16" spans="1:7" x14ac:dyDescent="0.25">
      <c r="A16" t="s">
        <v>25</v>
      </c>
      <c r="B16" s="23">
        <v>5661</v>
      </c>
      <c r="C16" s="23">
        <v>4203</v>
      </c>
      <c r="D16" s="23">
        <v>5083</v>
      </c>
      <c r="E16" s="23">
        <v>12430</v>
      </c>
      <c r="F16" s="23">
        <v>2529</v>
      </c>
      <c r="G16" s="23">
        <v>33092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DDD45-C999-4DB3-A3F4-EF2716DECC09}">
  <dimension ref="B2:B46"/>
  <sheetViews>
    <sheetView tabSelected="1" workbookViewId="0">
      <selection activeCell="B46" sqref="B46"/>
    </sheetView>
  </sheetViews>
  <sheetFormatPr defaultRowHeight="15.75" x14ac:dyDescent="0.25"/>
  <cols>
    <col min="1" max="16384" width="9" style="30"/>
  </cols>
  <sheetData>
    <row r="2" spans="2:2" x14ac:dyDescent="0.25">
      <c r="B2" s="31" t="s">
        <v>28</v>
      </c>
    </row>
    <row r="3" spans="2:2" x14ac:dyDescent="0.25">
      <c r="B3" s="30" t="s">
        <v>29</v>
      </c>
    </row>
    <row r="4" spans="2:2" x14ac:dyDescent="0.25">
      <c r="B4" s="30" t="s">
        <v>30</v>
      </c>
    </row>
    <row r="5" spans="2:2" x14ac:dyDescent="0.25">
      <c r="B5" s="30" t="s">
        <v>31</v>
      </c>
    </row>
    <row r="6" spans="2:2" x14ac:dyDescent="0.25">
      <c r="B6" s="30" t="s">
        <v>39</v>
      </c>
    </row>
    <row r="8" spans="2:2" x14ac:dyDescent="0.25">
      <c r="B8" s="30" t="s">
        <v>32</v>
      </c>
    </row>
    <row r="9" spans="2:2" x14ac:dyDescent="0.25">
      <c r="B9" s="30" t="s">
        <v>33</v>
      </c>
    </row>
    <row r="10" spans="2:2" x14ac:dyDescent="0.25">
      <c r="B10" s="30" t="s">
        <v>34</v>
      </c>
    </row>
    <row r="11" spans="2:2" x14ac:dyDescent="0.25">
      <c r="B11" s="30" t="s">
        <v>40</v>
      </c>
    </row>
    <row r="13" spans="2:2" x14ac:dyDescent="0.25">
      <c r="B13" s="30" t="s">
        <v>36</v>
      </c>
    </row>
    <row r="14" spans="2:2" x14ac:dyDescent="0.25">
      <c r="B14" s="30" t="s">
        <v>35</v>
      </c>
    </row>
    <row r="15" spans="2:2" x14ac:dyDescent="0.25">
      <c r="B15" s="30" t="s">
        <v>37</v>
      </c>
    </row>
    <row r="16" spans="2:2" x14ac:dyDescent="0.25">
      <c r="B16" s="30" t="s">
        <v>38</v>
      </c>
    </row>
    <row r="18" spans="2:2" x14ac:dyDescent="0.25">
      <c r="B18" s="30" t="s">
        <v>41</v>
      </c>
    </row>
    <row r="19" spans="2:2" x14ac:dyDescent="0.25">
      <c r="B19" s="30" t="s">
        <v>42</v>
      </c>
    </row>
    <row r="20" spans="2:2" x14ac:dyDescent="0.25">
      <c r="B20" s="30" t="s">
        <v>43</v>
      </c>
    </row>
    <row r="22" spans="2:2" x14ac:dyDescent="0.25">
      <c r="B22" s="30" t="s">
        <v>44</v>
      </c>
    </row>
    <row r="23" spans="2:2" x14ac:dyDescent="0.25">
      <c r="B23" s="30" t="s">
        <v>45</v>
      </c>
    </row>
    <row r="24" spans="2:2" x14ac:dyDescent="0.25">
      <c r="B24" s="30" t="s">
        <v>46</v>
      </c>
    </row>
    <row r="26" spans="2:2" x14ac:dyDescent="0.25">
      <c r="B26" s="30" t="s">
        <v>47</v>
      </c>
    </row>
    <row r="27" spans="2:2" x14ac:dyDescent="0.25">
      <c r="B27" s="30" t="s">
        <v>48</v>
      </c>
    </row>
    <row r="28" spans="2:2" x14ac:dyDescent="0.25">
      <c r="B28" s="30" t="s">
        <v>49</v>
      </c>
    </row>
    <row r="31" spans="2:2" x14ac:dyDescent="0.25">
      <c r="B31" s="31" t="s">
        <v>50</v>
      </c>
    </row>
    <row r="32" spans="2:2" x14ac:dyDescent="0.25">
      <c r="B32" s="30" t="s">
        <v>51</v>
      </c>
    </row>
    <row r="33" spans="2:2" x14ac:dyDescent="0.25">
      <c r="B33" s="30" t="s">
        <v>52</v>
      </c>
    </row>
    <row r="34" spans="2:2" x14ac:dyDescent="0.25">
      <c r="B34" s="30" t="s">
        <v>53</v>
      </c>
    </row>
    <row r="36" spans="2:2" x14ac:dyDescent="0.25">
      <c r="B36" s="30" t="s">
        <v>54</v>
      </c>
    </row>
    <row r="37" spans="2:2" x14ac:dyDescent="0.25">
      <c r="B37" s="30" t="s">
        <v>55</v>
      </c>
    </row>
    <row r="39" spans="2:2" x14ac:dyDescent="0.25">
      <c r="B39" s="30" t="s">
        <v>56</v>
      </c>
    </row>
    <row r="40" spans="2:2" x14ac:dyDescent="0.25">
      <c r="B40" s="30" t="s">
        <v>57</v>
      </c>
    </row>
    <row r="41" spans="2:2" x14ac:dyDescent="0.25">
      <c r="B41" s="30" t="s">
        <v>58</v>
      </c>
    </row>
    <row r="43" spans="2:2" x14ac:dyDescent="0.25">
      <c r="B43" s="30" t="s">
        <v>59</v>
      </c>
    </row>
    <row r="45" spans="2:2" x14ac:dyDescent="0.25">
      <c r="B45" s="30" t="s">
        <v>60</v>
      </c>
    </row>
    <row r="46" spans="2:2" x14ac:dyDescent="0.25">
      <c r="B46" s="30" t="s">
        <v>61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N9"/>
  <sheetViews>
    <sheetView showGridLines="0" topLeftCell="J1" workbookViewId="0"/>
  </sheetViews>
  <sheetFormatPr defaultColWidth="11.25" defaultRowHeight="15" customHeight="1" x14ac:dyDescent="0.25"/>
  <sheetData>
    <row r="1" spans="1:14" x14ac:dyDescent="0.25">
      <c r="A1" s="11" t="s">
        <v>12</v>
      </c>
      <c r="B1" s="11" t="s">
        <v>0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3"/>
    </row>
    <row r="2" spans="1:14" x14ac:dyDescent="0.25">
      <c r="A2" s="11" t="s">
        <v>1</v>
      </c>
      <c r="B2" s="14">
        <v>40178</v>
      </c>
      <c r="C2" s="15">
        <v>40543</v>
      </c>
      <c r="D2" s="15">
        <v>40908</v>
      </c>
      <c r="E2" s="15">
        <v>41274</v>
      </c>
      <c r="F2" s="15">
        <v>41639</v>
      </c>
      <c r="G2" s="15">
        <v>42004</v>
      </c>
      <c r="H2" s="15">
        <v>42369</v>
      </c>
      <c r="I2" s="15">
        <v>43100</v>
      </c>
      <c r="J2" s="15">
        <v>43465</v>
      </c>
      <c r="K2" s="15">
        <v>43830</v>
      </c>
      <c r="L2" s="15">
        <v>44196</v>
      </c>
      <c r="M2" s="15">
        <v>44561</v>
      </c>
      <c r="N2" s="16" t="s">
        <v>13</v>
      </c>
    </row>
    <row r="3" spans="1:14" x14ac:dyDescent="0.25">
      <c r="A3" s="17" t="s">
        <v>4</v>
      </c>
      <c r="B3" s="18">
        <v>3509</v>
      </c>
      <c r="C3" s="19">
        <v>3683</v>
      </c>
      <c r="D3" s="19">
        <v>3891</v>
      </c>
      <c r="E3" s="19">
        <v>4509</v>
      </c>
      <c r="F3" s="19">
        <v>4493</v>
      </c>
      <c r="G3" s="19">
        <v>4713</v>
      </c>
      <c r="H3" s="19">
        <v>4740</v>
      </c>
      <c r="I3" s="19">
        <v>4853</v>
      </c>
      <c r="J3" s="19">
        <v>5436</v>
      </c>
      <c r="K3" s="19">
        <v>5447</v>
      </c>
      <c r="L3" s="19">
        <v>5513</v>
      </c>
      <c r="M3" s="19">
        <v>5661</v>
      </c>
      <c r="N3" s="20">
        <v>56448</v>
      </c>
    </row>
    <row r="4" spans="1:14" x14ac:dyDescent="0.25">
      <c r="A4" s="21" t="s">
        <v>10</v>
      </c>
      <c r="B4" s="22">
        <v>2981</v>
      </c>
      <c r="C4" s="23">
        <v>3328</v>
      </c>
      <c r="D4" s="23">
        <v>2809</v>
      </c>
      <c r="E4" s="23">
        <v>3333</v>
      </c>
      <c r="F4" s="23">
        <v>3353</v>
      </c>
      <c r="G4" s="23">
        <v>5024</v>
      </c>
      <c r="H4" s="23">
        <v>5064</v>
      </c>
      <c r="I4" s="23">
        <v>6919</v>
      </c>
      <c r="J4" s="23">
        <v>6384</v>
      </c>
      <c r="K4" s="23">
        <v>5009</v>
      </c>
      <c r="L4" s="23">
        <v>5388</v>
      </c>
      <c r="M4" s="23">
        <v>4203</v>
      </c>
      <c r="N4" s="24">
        <v>53795</v>
      </c>
    </row>
    <row r="5" spans="1:14" x14ac:dyDescent="0.25">
      <c r="A5" s="21" t="s">
        <v>7</v>
      </c>
      <c r="B5" s="22">
        <v>2571</v>
      </c>
      <c r="C5" s="23">
        <v>3635</v>
      </c>
      <c r="D5" s="23">
        <v>3217</v>
      </c>
      <c r="E5" s="23">
        <v>3548</v>
      </c>
      <c r="F5" s="23">
        <v>3469</v>
      </c>
      <c r="G5" s="23">
        <v>3845</v>
      </c>
      <c r="H5" s="23">
        <v>3832</v>
      </c>
      <c r="I5" s="23">
        <v>3674</v>
      </c>
      <c r="J5" s="23">
        <v>5467</v>
      </c>
      <c r="K5" s="23">
        <v>4998</v>
      </c>
      <c r="L5" s="23">
        <v>5174</v>
      </c>
      <c r="M5" s="23">
        <v>5083</v>
      </c>
      <c r="N5" s="24">
        <v>48513</v>
      </c>
    </row>
    <row r="6" spans="1:14" x14ac:dyDescent="0.25">
      <c r="A6" s="21" t="s">
        <v>8</v>
      </c>
      <c r="B6" s="22">
        <v>7371</v>
      </c>
      <c r="C6" s="23">
        <v>8029</v>
      </c>
      <c r="D6" s="23">
        <v>8799</v>
      </c>
      <c r="E6" s="23">
        <v>9393</v>
      </c>
      <c r="F6" s="23">
        <v>9573</v>
      </c>
      <c r="G6" s="23">
        <v>9959</v>
      </c>
      <c r="H6" s="23">
        <v>9947</v>
      </c>
      <c r="I6" s="23">
        <v>11597</v>
      </c>
      <c r="J6" s="23">
        <v>11249</v>
      </c>
      <c r="K6" s="23">
        <v>12056</v>
      </c>
      <c r="L6" s="23">
        <v>11993</v>
      </c>
      <c r="M6" s="23">
        <v>12430</v>
      </c>
      <c r="N6" s="24">
        <v>122396</v>
      </c>
    </row>
    <row r="7" spans="1:14" x14ac:dyDescent="0.25">
      <c r="A7" s="21" t="s">
        <v>9</v>
      </c>
      <c r="B7" s="22">
        <v>415</v>
      </c>
      <c r="C7" s="23">
        <v>1130</v>
      </c>
      <c r="D7" s="23">
        <v>943</v>
      </c>
      <c r="E7" s="23">
        <v>1207</v>
      </c>
      <c r="F7" s="23">
        <v>1229</v>
      </c>
      <c r="G7" s="23">
        <v>1325</v>
      </c>
      <c r="H7" s="23">
        <v>1335</v>
      </c>
      <c r="I7" s="23">
        <v>1503</v>
      </c>
      <c r="J7" s="23">
        <v>1986</v>
      </c>
      <c r="K7" s="23">
        <v>1986</v>
      </c>
      <c r="L7" s="23">
        <v>1979</v>
      </c>
      <c r="M7" s="23">
        <v>2529</v>
      </c>
      <c r="N7" s="24">
        <v>17567</v>
      </c>
    </row>
    <row r="8" spans="1:14" x14ac:dyDescent="0.25">
      <c r="A8" s="21" t="s">
        <v>6</v>
      </c>
      <c r="B8" s="22">
        <v>8764</v>
      </c>
      <c r="C8" s="23">
        <v>13046</v>
      </c>
      <c r="D8" s="23">
        <v>15857</v>
      </c>
      <c r="E8" s="23">
        <v>22587</v>
      </c>
      <c r="F8" s="23">
        <v>22768</v>
      </c>
      <c r="G8" s="23">
        <v>27651</v>
      </c>
      <c r="H8" s="23">
        <v>28777</v>
      </c>
      <c r="I8" s="23">
        <v>28905</v>
      </c>
      <c r="J8" s="23">
        <v>32026</v>
      </c>
      <c r="K8" s="23">
        <v>33095</v>
      </c>
      <c r="L8" s="23">
        <v>32920</v>
      </c>
      <c r="M8" s="23">
        <v>33092</v>
      </c>
      <c r="N8" s="24">
        <v>299488</v>
      </c>
    </row>
    <row r="9" spans="1:14" x14ac:dyDescent="0.25">
      <c r="A9" s="25" t="s">
        <v>13</v>
      </c>
      <c r="B9" s="26">
        <v>25611</v>
      </c>
      <c r="C9" s="27">
        <v>32851</v>
      </c>
      <c r="D9" s="27">
        <v>35516</v>
      </c>
      <c r="E9" s="27">
        <v>44577</v>
      </c>
      <c r="F9" s="27">
        <v>44885</v>
      </c>
      <c r="G9" s="27">
        <v>52517</v>
      </c>
      <c r="H9" s="27">
        <v>53695</v>
      </c>
      <c r="I9" s="27">
        <v>57451</v>
      </c>
      <c r="J9" s="27">
        <v>62548</v>
      </c>
      <c r="K9" s="27">
        <v>62591</v>
      </c>
      <c r="L9" s="27">
        <v>62967</v>
      </c>
      <c r="M9" s="27">
        <v>62998</v>
      </c>
      <c r="N9" s="28">
        <v>598207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Time Series</vt:lpstr>
      <vt:lpstr>Pivot Chart</vt:lpstr>
      <vt:lpstr>Insight &amp; Recommendation</vt:lpstr>
      <vt:lpstr>Pivot 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Adib</dc:creator>
  <cp:lastModifiedBy>Siti Nur Aisyah</cp:lastModifiedBy>
  <dcterms:created xsi:type="dcterms:W3CDTF">2023-11-09T13:22:02Z</dcterms:created>
  <dcterms:modified xsi:type="dcterms:W3CDTF">2025-11-28T22:05:23Z</dcterms:modified>
</cp:coreProperties>
</file>