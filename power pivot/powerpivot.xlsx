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J:\projek\excel\"/>
    </mc:Choice>
  </mc:AlternateContent>
  <xr:revisionPtr revIDLastSave="0" documentId="13_ncr:1_{E0C3F532-C4BC-43D6-858F-F5A8354CA188}" xr6:coauthVersionLast="47" xr6:coauthVersionMax="47" xr10:uidLastSave="{00000000-0000-0000-0000-000000000000}"/>
  <bookViews>
    <workbookView xWindow="13515" yWindow="2055" windowWidth="14400" windowHeight="7365" activeTab="1" xr2:uid="{4E319E96-AFCC-4C3C-932E-553C42E040C3}"/>
  </bookViews>
  <sheets>
    <sheet name="Free Pivot" sheetId="1" r:id="rId1"/>
    <sheet name="Dashboard" sheetId="6" r:id="rId2"/>
  </sheets>
  <externalReferences>
    <externalReference r:id="rId3"/>
  </externalReferences>
  <definedNames>
    <definedName name="Slicer_City">#N/A</definedName>
    <definedName name="Slicer_Customer_Type">#N/A</definedName>
    <definedName name="Slicer_Order_Date__Month">#N/A</definedName>
    <definedName name="Slicer_Product_Category">#N/A</definedName>
    <definedName name="Slicer_Product_Container">#N/A</definedName>
    <definedName name="Slicer_Ship_Mode">#N/A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pivotCache cacheId="8"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ec7f2638-7d41-47ec-a7dc-119c0b55b188" name="Customer" connection="Mapping Data Karyawan"/>
          <x15:modelTable id="Employee_1fdc6ff4-1b24-4b32-897b-25b5fcc22743" name="Employee" connection="Excel Data Mapping Karyawan"/>
          <x15:modelTable id="Product_087a77c7-ac45-4494-a50d-3f8a938b2d92" name="Product" connection="Excel Data Mapping Product"/>
          <x15:modelTable id="Ship Mode_596bbe41-825a-45e8-b699-d41b267e8fde" name="Ship Mode" connection="Excel Data Mapping Shipment"/>
          <x15:modelTable id="Raw Data_eeeed314-6b87-4ca6-8c69-45e0c738376a" name="Raw Data" connection="Excel Data Order Detail"/>
        </x15:modelTables>
        <x15:modelRelationships>
          <x15:modelRelationship fromTable="Raw Data" fromColumn="Account Manager ID" toTable="Employee" toColumn="Employee ID"/>
          <x15:modelRelationship fromTable="Raw Data" fromColumn="Product Name" toTable="Product" toColumn="Product Name"/>
          <x15:modelRelationship fromTable="Raw Data" fromColumn="Ship Mode" toTable="Ship Mode" toColumn="Ship Mode"/>
          <x15:modelRelationship fromTable="Raw Data" fromColumn="Customer Name" toTable="Customer" toColumn="Customer Name"/>
        </x15:modelRelationships>
        <x15:extLst>
          <ext xmlns:x16="http://schemas.microsoft.com/office/spreadsheetml/2014/11/main" uri="{9835A34E-60A6-4A7C-AAB8-D5F71C897F49}">
            <x16:modelTimeGroupings>
              <x16:modelTimeGrouping tableName="Raw 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241DA9-3108-40B8-BC79-00FA0CFC3945}" name="Excel Data Mapping Karyawan" type="100" refreshedVersion="0">
    <extLst>
      <ext xmlns:x15="http://schemas.microsoft.com/office/spreadsheetml/2010/11/main" uri="{DE250136-89BD-433C-8126-D09CA5730AF9}">
        <x15:connection id="d61fb1f4-770b-485b-975b-9b5b42cf3063"/>
      </ext>
    </extLst>
  </connection>
  <connection id="2" xr16:uid="{B22DE54A-DC30-48DB-BC19-B21B32A10782}" name="Excel Data Mapping Product" type="100" refreshedVersion="0">
    <extLst>
      <ext xmlns:x15="http://schemas.microsoft.com/office/spreadsheetml/2010/11/main" uri="{DE250136-89BD-433C-8126-D09CA5730AF9}">
        <x15:connection id="8768c0b7-3787-40ee-8f1b-62e6c8f0b6d7"/>
      </ext>
    </extLst>
  </connection>
  <connection id="3" xr16:uid="{D9E88B38-A4C4-40F5-90D8-23D4912B834F}" name="Excel Data Mapping Shipment" type="100" refreshedVersion="0">
    <extLst>
      <ext xmlns:x15="http://schemas.microsoft.com/office/spreadsheetml/2010/11/main" uri="{DE250136-89BD-433C-8126-D09CA5730AF9}">
        <x15:connection id="ef853bb2-982a-49ac-8b1b-bc00fe8baf53"/>
      </ext>
    </extLst>
  </connection>
  <connection id="4" xr16:uid="{33C45330-F994-46A7-A640-0335258A22F1}" name="Excel Data Order Detail" type="100" refreshedVersion="0">
    <extLst>
      <ext xmlns:x15="http://schemas.microsoft.com/office/spreadsheetml/2010/11/main" uri="{DE250136-89BD-433C-8126-D09CA5730AF9}">
        <x15:connection id="eaa6b7b2-41c1-4cda-ae86-f5dd0b551c71"/>
      </ext>
    </extLst>
  </connection>
  <connection id="5" xr16:uid="{215D074C-B4D4-48A8-B2CA-BC6A5CFF8048}" name="Mapping Data Karyawan" type="100" refreshedVersion="0">
    <extLst>
      <ext xmlns:x15="http://schemas.microsoft.com/office/spreadsheetml/2010/11/main" uri="{DE250136-89BD-433C-8126-D09CA5730AF9}">
        <x15:connection id="df40baef-2e1e-4c16-a3a3-779794180c2a"/>
      </ext>
    </extLst>
  </connection>
  <connection id="6" xr16:uid="{862BCD0B-132F-4A62-A3B1-850DAF1B810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<sst xmlns="http://schemas.openxmlformats.org/spreadsheetml/2006/main" count="67" uniqueCount="59">
  <si>
    <t>Grand Total</t>
  </si>
  <si>
    <t>Bandung</t>
  </si>
  <si>
    <t>Jakarta</t>
  </si>
  <si>
    <t>Surabaya</t>
  </si>
  <si>
    <t>City</t>
  </si>
  <si>
    <t>Total Sales</t>
  </si>
  <si>
    <t>Total Profit</t>
  </si>
  <si>
    <t>Profit Margin</t>
  </si>
  <si>
    <t>Values</t>
  </si>
  <si>
    <t>Sum of Order Quantity</t>
  </si>
  <si>
    <t>Order Date (Month)</t>
  </si>
  <si>
    <t>Jan</t>
  </si>
  <si>
    <t>Feb</t>
  </si>
  <si>
    <t>Mar</t>
  </si>
  <si>
    <t>Apr</t>
  </si>
  <si>
    <t>May</t>
  </si>
  <si>
    <t>Jun</t>
  </si>
  <si>
    <t>Jul</t>
  </si>
  <si>
    <t>Aug</t>
  </si>
  <si>
    <t>Sep</t>
  </si>
  <si>
    <t>Oct</t>
  </si>
  <si>
    <t>Nov</t>
  </si>
  <si>
    <t>Dec</t>
  </si>
  <si>
    <t>Average Order Value (AOV)</t>
  </si>
  <si>
    <t>Customer Type</t>
  </si>
  <si>
    <t>Consumer</t>
  </si>
  <si>
    <t>Corporate</t>
  </si>
  <si>
    <t>Home Office</t>
  </si>
  <si>
    <t>Small Business</t>
  </si>
  <si>
    <t>Product Name</t>
  </si>
  <si>
    <t>Adesso Programmable 142-Key Keyboard</t>
  </si>
  <si>
    <t>Cando PC940 Copier</t>
  </si>
  <si>
    <t>Deluxe Rollaway Locking File with Drawer</t>
  </si>
  <si>
    <t>Economy Rollaway Files</t>
  </si>
  <si>
    <t>Emerson Stylus 1520 Color Inkjet Printer</t>
  </si>
  <si>
    <t>HFX LaserJet 3310 Copier</t>
  </si>
  <si>
    <t>Multimedia Mailers</t>
  </si>
  <si>
    <t>UGen Ultra Professional Cordless Optical Suite</t>
  </si>
  <si>
    <t>3Max Polarizing Task Lamp with Clamp Arm, Light Gray</t>
  </si>
  <si>
    <t>Emerson LQ-870 Dot Matrix Printer</t>
  </si>
  <si>
    <t>Full Name</t>
  </si>
  <si>
    <t>Gaduh Pratama</t>
  </si>
  <si>
    <t>Laras Nuraini</t>
  </si>
  <si>
    <t>Cinthia Gunawan</t>
  </si>
  <si>
    <t>Bagiya Sihombing</t>
  </si>
  <si>
    <t>Violet Mentari</t>
  </si>
  <si>
    <t>Paiman Firgantoro</t>
  </si>
  <si>
    <t>Ophelia Mustofa</t>
  </si>
  <si>
    <t>Darmanto Laksita</t>
  </si>
  <si>
    <t>Kenari Rajasa</t>
  </si>
  <si>
    <t>Puti Nadine Prakasa</t>
  </si>
  <si>
    <t>Clara Prasetyo</t>
  </si>
  <si>
    <t>Nabila Prakasa</t>
  </si>
  <si>
    <t>Sutan Tirtayasa Wasita</t>
  </si>
  <si>
    <t>Sari Winarno</t>
  </si>
  <si>
    <t>Product Category</t>
  </si>
  <si>
    <t>Furniture</t>
  </si>
  <si>
    <t>Office Supplies</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</si>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</sst>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Rp&quot;#,##0;\-&quot;Rp&quot;#,##0"/>
    <numFmt numFmtId="164" formatCode="0.00%;\-0.00%;0.00%"/>
  </numFmts>
  <fonts count="2" x14ac:knownFonts="1">
    <font>
      <sz val="11"/>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0" fontId="1" fillId="0" borderId="0"/>
  </cellStyleXfs>
  <cellXfs count="8">
    <xf numFmtId="0" fontId="0" fillId="0" borderId="0" xfId="0"/>
    <xf numFmtId="0" fontId="0" fillId="0" borderId="0" xfId="0" pivotButton="1"/>
    <xf numFmtId="164" fontId="0" fillId="0" borderId="0" xfId="0" applyNumberFormat="1"/>
    <xf numFmtId="0" fontId="0" fillId="0" borderId="0" xfId="0" applyNumberFormat="1"/>
    <xf numFmtId="0" fontId="0" fillId="2" borderId="0" xfId="0" applyFill="1"/>
    <xf numFmtId="0" fontId="0" fillId="0" borderId="0" xfId="0" applyFill="1"/>
    <xf numFmtId="5" fontId="0" fillId="0" borderId="0" xfId="0" applyNumberFormat="1"/>
    <xf numFmtId="1" fontId="0" fillId="0" borderId="0" xfId="0" applyNumberFormat="1"/>
  </cellXfs>
  <cellStyles count="2">
    <cellStyle name="Normal" xfId="0" builtinId="0"/>
    <cellStyle name="Normal 2" xfId="1" xr:uid="{108A0758-52B0-4CFD-9CC4-9F7C9AEAE1CD}"/>
  </cellStyles>
  <dxfs count="2">
    <dxf>
      <font>
        <color rgb="FF9C0006"/>
      </font>
      <fill>
        <patternFill>
          <bgColor rgb="FFFFC7CE"/>
        </patternFill>
      </fill>
    </dxf>
    <dxf>
      <numFmt numFmtId="1" formatCode="0"/>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externalLink" Target="externalLinks/externalLink1.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[powerpivot.xlsx]Free Pivot!PivotTable4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t>Trend Sales &amp; Profit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FF99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square"/>
          <c:size val="7"/>
          <c:spPr>
            <a:solidFill>
              <a:schemeClr val="accent2"/>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5774078004002563E-2"/>
              <c:y val="0.34401302078587837"/>
            </c:manualLayout>
          </c:layout>
          <c:spPr>
            <a:solidFill>
              <a:srgbClr val="FF99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2283484246092932E-3"/>
              <c:y val="6.2960754822069531E-2"/>
            </c:manualLayout>
          </c:layout>
          <c:spPr>
            <a:solidFill>
              <a:srgbClr val="FF99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'Free Pivot'!$B$15</c:f>
              <c:strCache>
                <c:ptCount val="1"/>
                <c:pt idx="0">
                  <c:v>Total Profit</c:v>
                </c:pt>
              </c:strCache>
            </c:strRef>
          </c:tx>
          <c:spPr>
            <a:solidFill>
              <a:schemeClr val="accent1"/>
            </a:solidFill>
            <a:ln>
              <a:noFill/>
            </a:ln>
            <a:effectLst/>
          </c:spPr>
          <c:invertIfNegative val="0"/>
          <c:dPt>
            <c:idx val="4"/>
            <c:invertIfNegative val="0"/>
            <c:bubble3D val="0"/>
            <c:extLst>
              <c:ext xmlns:c16="http://schemas.microsoft.com/office/drawing/2014/chart" uri="{C3380CC4-5D6E-409C-BE32-E72D297353CC}">
                <c16:uniqueId val="{00000003-E618-4992-870A-FEF9DAD06EFE}"/>
              </c:ext>
            </c:extLst>
          </c:dPt>
          <c:dPt>
            <c:idx val="8"/>
            <c:invertIfNegative val="0"/>
            <c:bubble3D val="0"/>
            <c:extLst>
              <c:ext xmlns:c16="http://schemas.microsoft.com/office/drawing/2014/chart" uri="{C3380CC4-5D6E-409C-BE32-E72D297353CC}">
                <c16:uniqueId val="{00000002-E618-4992-870A-FEF9DAD06EFE}"/>
              </c:ext>
            </c:extLst>
          </c:dPt>
          <c:dLbls>
            <c:dLbl>
              <c:idx val="4"/>
              <c:layout>
                <c:manualLayout>
                  <c:x val="-1.2283484246092932E-3"/>
                  <c:y val="6.296075482206953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18-4992-870A-FEF9DAD06EFE}"/>
                </c:ext>
              </c:extLst>
            </c:dLbl>
            <c:dLbl>
              <c:idx val="8"/>
              <c:layout>
                <c:manualLayout>
                  <c:x val="3.5774078004002563E-2"/>
                  <c:y val="0.3440130207858783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18-4992-870A-FEF9DAD06EFE}"/>
                </c:ext>
              </c:extLst>
            </c:dLbl>
            <c:spPr>
              <a:solidFill>
                <a:srgbClr val="FF99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'Free Pivot'!$A$16:$A$27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'Free Pivot'!$B$16:$B$27</c:f>
              <c:numCache>
                <c:formatCode>"Rp"#,##0_);\("Rp"#,##0\)</c:formatCode>
                <c:ptCount val="12"/>
                <c:pt idx="0">
                  <c:v>670084500</c:v>
                </c:pt>
                <c:pt idx="1">
                  <c:v>621006163.5</c:v>
                </c:pt>
                <c:pt idx="2">
                  <c:v>748612774.5</c:v>
                </c:pt>
                <c:pt idx="3">
                  <c:v>530776950</c:v>
                </c:pt>
                <c:pt idx="4">
                  <c:v>1014121648.5</c:v>
                </c:pt>
                <c:pt idx="5">
                  <c:v>402586141.5</c:v>
                </c:pt>
                <c:pt idx="6">
                  <c:v>730954500</c:v>
                </c:pt>
                <c:pt idx="7">
                  <c:v>685388959.5</c:v>
                </c:pt>
                <c:pt idx="8">
                  <c:v>1148065438.5</c:v>
                </c:pt>
                <c:pt idx="9">
                  <c:v>277699212</c:v>
                </c:pt>
                <c:pt idx="10">
                  <c:v>903732450</c:v>
                </c:pt>
                <c:pt idx="11">
                  <c:v>756627300</c:v>
                </c:pt>
              </c:numCache>
            </c:numRef>
          </c:val>
          <c:extLst>
            <c:ext xmlns:c16="http://schemas.microsoft.com/office/drawing/2014/chart" uri="{C3380CC4-5D6E-409C-BE32-E72D297353CC}">
              <c16:uniqueId val="{00000000-E618-4992-870A-FEF9DAD06EFE}"/>
            </c:ext>
          </c:extLst>
        </c:ser>
        <c:dLbls>
          <c:showLegendKey val="0"/>
          <c:showVal val="0"/>
          <c:showCatName val="0"/>
          <c:showSerName val="0"/>
          <c:showPercent val="0"/>
          <c:showBubbleSize val="0"/>
        </c:dLbls>
        <c:gapWidth val="150"/>
        <c:axId val="349489423"/>
        <c:axId val="349470703"/>
      </c:barChart>
      <c:lineChart>
        <c:grouping val="standard"/>
        <c:varyColors val="0"/>
        <c:ser>
          <c:idx val="1"/>
          <c:order val="1"/>
          <c:tx>
            <c:strRef>
              <c:f>'Free Pivot'!$C$15</c:f>
              <c:strCache>
                <c:ptCount val="1"/>
                <c:pt idx="0">
                  <c:v>Profit Margin</c:v>
                </c:pt>
              </c:strCache>
            </c:strRef>
          </c:tx>
          <c:spPr>
            <a:ln w="28575" cap="rnd">
              <a:solidFill>
                <a:schemeClr val="accent2"/>
              </a:solidFill>
              <a:round/>
            </a:ln>
            <a:effectLst/>
          </c:spPr>
          <c:marker>
            <c:symbol val="square"/>
            <c:size val="7"/>
            <c:spPr>
              <a:solidFill>
                <a:schemeClr val="accent2"/>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'Free Pivot'!$A$16:$A$27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'Free Pivot'!$C$16:$C$27</c:f>
              <c:numCache>
                <c:formatCode>0.00%;\-0.00%;0.00%</c:formatCode>
                <c:ptCount val="12"/>
                <c:pt idx="0">
                  <c:v>0.50772556680884595</c:v>
                </c:pt>
                <c:pt idx="1">
                  <c:v>0.46427569092455301</c:v>
                </c:pt>
                <c:pt idx="2">
                  <c:v>0.54983072650794229</c:v>
                </c:pt>
                <c:pt idx="3">
                  <c:v>0.48837705523726399</c:v>
                </c:pt>
                <c:pt idx="4">
                  <c:v>0.47063774587568757</c:v>
                </c:pt>
                <c:pt idx="5">
                  <c:v>0.47159297842129033</c:v>
                </c:pt>
                <c:pt idx="6">
                  <c:v>0.46360830410310327</c:v>
                </c:pt>
                <c:pt idx="7">
                  <c:v>0.45224761926368862</c:v>
                </c:pt>
                <c:pt idx="8">
                  <c:v>0.50063102699222317</c:v>
                </c:pt>
                <c:pt idx="9">
                  <c:v>0.47317381574694278</c:v>
                </c:pt>
                <c:pt idx="10">
                  <c:v>0.47222887579285044</c:v>
                </c:pt>
                <c:pt idx="11">
                  <c:v>0.51282405289827149</c:v>
                </c:pt>
              </c:numCache>
            </c:numRef>
          </c:val>
          <c:smooth val="0"/>
          <c:extLst>
            <c:ext xmlns:c16="http://schemas.microsoft.com/office/drawing/2014/chart" uri="{C3380CC4-5D6E-409C-BE32-E72D297353CC}">
              <c16:uniqueId val="{00000001-E618-4992-870A-FEF9DAD06EFE}"/>
            </c:ext>
          </c:extLst>
        </c:ser>
        <c:dLbls>
          <c:showLegendKey val="0"/>
          <c:showVal val="0"/>
          <c:showCatName val="0"/>
          <c:showSerName val="0"/>
          <c:showPercent val="0"/>
          <c:showBubbleSize val="0"/>
        </c:dLbls>
        <c:marker val="1"/>
        <c:smooth val="0"/>
        <c:axId val="349487983"/>
        <c:axId val="349472623"/>
      </c:lineChart>
      <c:catAx>
        <c:axId val="34948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70703"/>
        <c:crosses val="autoZero"/>
        <c:auto val="1"/>
        <c:lblAlgn val="ctr"/>
        <c:lblOffset val="100"/>
        <c:noMultiLvlLbl val="0"/>
      </c:catAx>
      <c:valAx>
        <c:axId val="349470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p&quot;#,##0_);\(&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89423"/>
        <c:crosses val="autoZero"/>
        <c:crossBetween val="between"/>
      </c:valAx>
      <c:valAx>
        <c:axId val="34947262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D" b="1"/>
                  <a:t>Profit Margin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487983"/>
        <c:crosses val="max"/>
        <c:crossBetween val="between"/>
      </c:valAx>
      <c:catAx>
        <c:axId val="34948798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3494726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[powerpivot.xlsx]Free 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Perfomance</a:t>
            </a:r>
            <a:r>
              <a:rPr lang="en-US" baseline="0"/>
              <a:t> Based on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'Free Pivot'!$B$30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B79-4239-A778-901038AB7AA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B79-4239-A778-901038AB7AA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B79-4239-A778-901038AB7AA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B79-4239-A778-901038AB7A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'Free Pivot'!$A$31:$A$34</c:f>
              <c:strCache>
                <c:ptCount val="4"/>
                <c:pt idx="0">
                  <c:v>Consumer</c:v>
                </c:pt>
                <c:pt idx="1">
                  <c:v>Corporate</c:v>
                </c:pt>
                <c:pt idx="2">
                  <c:v>Home Office</c:v>
                </c:pt>
                <c:pt idx="3">
                  <c:v>Small Business</c:v>
                </c:pt>
              </c:strCache>
            </c:strRef>
          </c:cat>
          <c:val>
            <c:numRef>
              <c:f>'Free Pivot'!$B$31:$B$34</c:f>
              <c:numCache>
                <c:formatCode>"Rp"#,##0_);\("Rp"#,##0\)</c:formatCode>
                <c:ptCount val="4"/>
                <c:pt idx="0">
                  <c:v>3987507916.5</c:v>
                </c:pt>
                <c:pt idx="1">
                  <c:v>6574608043.5</c:v>
                </c:pt>
                <c:pt idx="2">
                  <c:v>3685299586.5</c:v>
                </c:pt>
                <c:pt idx="3">
                  <c:v>3228224191.5</c:v>
                </c:pt>
              </c:numCache>
            </c:numRef>
          </c:val>
          <c:extLst>
            <c:ext xmlns:c16="http://schemas.microsoft.com/office/drawing/2014/chart" uri="{C3380CC4-5D6E-409C-BE32-E72D297353CC}">
              <c16:uniqueId val="{00000008-AB79-4239-A778-901038AB7AAE}"/>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[powerpivot.xlsx]Free Pivot!PivotTable7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 Based on</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Rp&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5.5555555555555552E-2"/>
            </c:manualLayout>
          </c:layout>
          <c:numFmt formatCode="&quot;Rp&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'Free Pivot'!$B$36</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3057-4495-A91E-ACA86779F11C}"/>
              </c:ext>
            </c:extLst>
          </c:dPt>
          <c:dLbls>
            <c:dLbl>
              <c:idx val="2"/>
              <c:layout>
                <c:manualLayout>
                  <c:x val="0"/>
                  <c:y val="5.55555555555555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57-4495-A91E-ACA86779F11C}"/>
                </c:ext>
              </c:extLst>
            </c:dLbl>
            <c:numFmt formatCode="&quot;Rp&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'Free Pivot'!$A$37:$A$46</c:f>
              <c:strCache>
                <c:ptCount val="10"/>
                <c:pt idx="0">
                  <c:v>3Max Polarizing Task Lamp with Clamp Arm, Light Gray</c:v>
                </c:pt>
                <c:pt idx="1">
                  <c:v>Adesso Programmable 142-Key Keyboard</c:v>
                </c:pt>
                <c:pt idx="2">
                  <c:v>Cando PC940 Copier</c:v>
                </c:pt>
                <c:pt idx="3">
                  <c:v>Deluxe Rollaway Locking File with Drawer</c:v>
                </c:pt>
                <c:pt idx="4">
                  <c:v>Economy Rollaway Files</c:v>
                </c:pt>
                <c:pt idx="5">
                  <c:v>Emerson LQ-870 Dot Matrix Printer</c:v>
                </c:pt>
                <c:pt idx="6">
                  <c:v>Emerson Stylus 1520 Color Inkjet Printer</c:v>
                </c:pt>
                <c:pt idx="7">
                  <c:v>HFX LaserJet 3310 Copier</c:v>
                </c:pt>
                <c:pt idx="8">
                  <c:v>Multimedia Mailers</c:v>
                </c:pt>
                <c:pt idx="9">
                  <c:v>UGen Ultra Professional Cordless Optical Suite</c:v>
                </c:pt>
              </c:strCache>
            </c:strRef>
          </c:cat>
          <c:val>
            <c:numRef>
              <c:f>'Free Pivot'!$B$37:$B$46</c:f>
              <c:numCache>
                <c:formatCode>"Rp"#,##0_);\("Rp"#,##0\)</c:formatCode>
                <c:ptCount val="10"/>
                <c:pt idx="0">
                  <c:v>398611799.99999994</c:v>
                </c:pt>
                <c:pt idx="1">
                  <c:v>997219200</c:v>
                </c:pt>
                <c:pt idx="2">
                  <c:v>3199428900</c:v>
                </c:pt>
                <c:pt idx="3">
                  <c:v>542723400</c:v>
                </c:pt>
                <c:pt idx="4">
                  <c:v>423738000</c:v>
                </c:pt>
                <c:pt idx="5">
                  <c:v>361557000</c:v>
                </c:pt>
                <c:pt idx="6">
                  <c:v>1052037000</c:v>
                </c:pt>
                <c:pt idx="7">
                  <c:v>3005949900</c:v>
                </c:pt>
                <c:pt idx="8">
                  <c:v>676974150</c:v>
                </c:pt>
                <c:pt idx="9">
                  <c:v>862279050</c:v>
                </c:pt>
              </c:numCache>
            </c:numRef>
          </c:val>
          <c:extLst>
            <c:ext xmlns:c16="http://schemas.microsoft.com/office/drawing/2014/chart" uri="{C3380CC4-5D6E-409C-BE32-E72D297353CC}">
              <c16:uniqueId val="{00000000-3057-4495-A91E-ACA86779F11C}"/>
            </c:ext>
          </c:extLst>
        </c:ser>
        <c:dLbls>
          <c:dLblPos val="outEnd"/>
          <c:showLegendKey val="0"/>
          <c:showVal val="1"/>
          <c:showCatName val="0"/>
          <c:showSerName val="0"/>
          <c:showPercent val="0"/>
          <c:showBubbleSize val="0"/>
        </c:dLbls>
        <c:gapWidth val="182"/>
        <c:axId val="561807615"/>
        <c:axId val="561808095"/>
      </c:barChart>
      <c:catAx>
        <c:axId val="56180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08095"/>
        <c:crosses val="autoZero"/>
        <c:auto val="1"/>
        <c:lblAlgn val="ctr"/>
        <c:lblOffset val="100"/>
        <c:noMultiLvlLbl val="0"/>
      </c:catAx>
      <c:valAx>
        <c:axId val="561808095"/>
        <c:scaling>
          <c:orientation val="minMax"/>
        </c:scaling>
        <c:delete val="0"/>
        <c:axPos val="b"/>
        <c:majorGridlines>
          <c:spPr>
            <a:ln w="9525" cap="flat" cmpd="sng" algn="ctr">
              <a:solidFill>
                <a:schemeClr val="tx1">
                  <a:lumMod val="15000"/>
                  <a:lumOff val="85000"/>
                </a:schemeClr>
              </a:solidFill>
              <a:round/>
            </a:ln>
            <a:effectLst/>
          </c:spPr>
        </c:majorGridlines>
        <c:numFmt formatCode="&quot;Rp&quot;#,##0_);\(&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0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[powerpivot.xlsx]Free Pivot!PivotTable8</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Based on Employee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6137075245119E-3"/>
              <c:y val="5.7671370818967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'Free Pivot'!$B$49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4"/>
            <c:invertIfNegative val="0"/>
            <c:bubble3D val="0"/>
            <c:extLst>
              <c:ext xmlns:c16="http://schemas.microsoft.com/office/drawing/2014/chart" uri="{C3380CC4-5D6E-409C-BE32-E72D297353CC}">
                <c16:uniqueId val="{00000001-CF2C-45A1-B7ED-25A1EA694CB1}"/>
              </c:ext>
            </c:extLst>
          </c:dPt>
          <c:dLbls>
            <c:dLbl>
              <c:idx val="4"/>
              <c:layout>
                <c:manualLayout>
                  <c:x val="-5.6137075245119E-3"/>
                  <c:y val="5.767137081896752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2C-45A1-B7ED-25A1EA694C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'Free Pivot'!$A$50:$A$63</c:f>
              <c:strCache>
                <c:ptCount val="14"/>
                <c:pt idx="0">
                  <c:v>Bagiya Sihombing</c:v>
                </c:pt>
                <c:pt idx="1">
                  <c:v>Cinthia Gunawan</c:v>
                </c:pt>
                <c:pt idx="2">
                  <c:v>Clara Prasetyo</c:v>
                </c:pt>
                <c:pt idx="3">
                  <c:v>Darmanto Laksita</c:v>
                </c:pt>
                <c:pt idx="4">
                  <c:v>Gaduh Pratama</c:v>
                </c:pt>
                <c:pt idx="5">
                  <c:v>Kenari Rajasa</c:v>
                </c:pt>
                <c:pt idx="6">
                  <c:v>Laras Nuraini</c:v>
                </c:pt>
                <c:pt idx="7">
                  <c:v>Nabila Prakasa</c:v>
                </c:pt>
                <c:pt idx="8">
                  <c:v>Ophelia Mustofa</c:v>
                </c:pt>
                <c:pt idx="9">
                  <c:v>Paiman Firgantoro</c:v>
                </c:pt>
                <c:pt idx="10">
                  <c:v>Puti Nadine Prakasa</c:v>
                </c:pt>
                <c:pt idx="11">
                  <c:v>Sari Winarno</c:v>
                </c:pt>
                <c:pt idx="12">
                  <c:v>Sutan Tirtayasa Wasita</c:v>
                </c:pt>
                <c:pt idx="13">
                  <c:v>Violet Mentari</c:v>
                </c:pt>
              </c:strCache>
            </c:strRef>
          </c:cat>
          <c:val>
            <c:numRef>
              <c:f>'Free Pivot'!$B$50:$B$63</c:f>
              <c:numCache>
                <c:formatCode>"Rp"#,##0_);\("Rp"#,##0\)</c:formatCode>
                <c:ptCount val="14"/>
                <c:pt idx="0">
                  <c:v>964569012</c:v>
                </c:pt>
                <c:pt idx="1">
                  <c:v>1159924350</c:v>
                </c:pt>
                <c:pt idx="2">
                  <c:v>865563900</c:v>
                </c:pt>
                <c:pt idx="3">
                  <c:v>101908336.5</c:v>
                </c:pt>
                <c:pt idx="4">
                  <c:v>2300370991.5</c:v>
                </c:pt>
                <c:pt idx="5">
                  <c:v>1869710359.5</c:v>
                </c:pt>
                <c:pt idx="6">
                  <c:v>1992797148</c:v>
                </c:pt>
                <c:pt idx="7">
                  <c:v>1334944422</c:v>
                </c:pt>
                <c:pt idx="8">
                  <c:v>1274704800</c:v>
                </c:pt>
                <c:pt idx="9">
                  <c:v>1892846674.5</c:v>
                </c:pt>
                <c:pt idx="10">
                  <c:v>1075879500</c:v>
                </c:pt>
                <c:pt idx="11">
                  <c:v>1139425050</c:v>
                </c:pt>
                <c:pt idx="12">
                  <c:v>264814800</c:v>
                </c:pt>
                <c:pt idx="13">
                  <c:v>1238180394</c:v>
                </c:pt>
              </c:numCache>
            </c:numRef>
          </c:val>
          <c:extLst>
            <c:ext xmlns:c16="http://schemas.microsoft.com/office/drawing/2014/chart" uri="{C3380CC4-5D6E-409C-BE32-E72D297353CC}">
              <c16:uniqueId val="{00000000-CF2C-45A1-B7ED-25A1EA694CB1}"/>
            </c:ext>
          </c:extLst>
        </c:ser>
        <c:dLbls>
          <c:showLegendKey val="0"/>
          <c:showVal val="0"/>
          <c:showCatName val="0"/>
          <c:showSerName val="0"/>
          <c:showPercent val="0"/>
          <c:showBubbleSize val="0"/>
        </c:dLbls>
        <c:gapWidth val="100"/>
        <c:axId val="1296782687"/>
        <c:axId val="1296777887"/>
      </c:barChart>
      <c:catAx>
        <c:axId val="129678268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6777887"/>
        <c:crosses val="autoZero"/>
        <c:auto val="1"/>
        <c:lblAlgn val="ctr"/>
        <c:lblOffset val="100"/>
        <c:tickLblSkip val="1"/>
        <c:noMultiLvlLbl val="0"/>
      </c:catAx>
      <c:valAx>
        <c:axId val="1296777887"/>
        <c:scaling>
          <c:orientation val="minMax"/>
        </c:scaling>
        <c:delete val="0"/>
        <c:axPos val="b"/>
        <c:majorGridlines>
          <c:spPr>
            <a:ln w="9525" cap="flat" cmpd="sng" algn="ctr">
              <a:solidFill>
                <a:schemeClr val="tx2">
                  <a:lumMod val="15000"/>
                  <a:lumOff val="85000"/>
                </a:schemeClr>
              </a:solidFill>
              <a:round/>
            </a:ln>
            <a:effectLst/>
          </c:spPr>
        </c:majorGridlines>
        <c:numFmt formatCode="&quot;Rp&quot;#,##0_);\(&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678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85707</xdr:colOff>
      <xdr:row>7</xdr:row>
      <xdr:rowOff>85727</xdr:rowOff>
    </xdr:from>
    <xdr:to>
      <xdr:col>24</xdr:col>
      <xdr:colOff>214312</xdr:colOff>
      <xdr:row>14</xdr:row>
      <xdr:rowOff>133352</xdr:rowOff>
    </xdr:to>
    <xdr:sp macro="" textlink="">
      <xdr:nvSpPr>
        <xdr:cNvPr id="35" name="Rectangle 34">
          <a:extLst>
            <a:ext uri="{FF2B5EF4-FFF2-40B4-BE49-F238E27FC236}">
              <a16:creationId xmlns:a16="http://schemas.microsoft.com/office/drawing/2014/main" id="{F94F18A4-13E5-45D9-A9E2-C1935F33B61F}"/>
            </a:ext>
          </a:extLst>
        </xdr:cNvPr>
        <xdr:cNvSpPr/>
      </xdr:nvSpPr>
      <xdr:spPr>
        <a:xfrm>
          <a:off x="11229957" y="1419227"/>
          <a:ext cx="3843355" cy="1381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13</xdr:col>
      <xdr:colOff>576246</xdr:colOff>
      <xdr:row>7</xdr:row>
      <xdr:rowOff>100015</xdr:rowOff>
    </xdr:from>
    <xdr:to>
      <xdr:col>17</xdr:col>
      <xdr:colOff>504808</xdr:colOff>
      <xdr:row>14</xdr:row>
      <xdr:rowOff>147640</xdr:rowOff>
    </xdr:to>
    <xdr:sp macro="" textlink="">
      <xdr:nvSpPr>
        <xdr:cNvPr id="34" name="Rectangle 33">
          <a:extLst>
            <a:ext uri="{FF2B5EF4-FFF2-40B4-BE49-F238E27FC236}">
              <a16:creationId xmlns:a16="http://schemas.microsoft.com/office/drawing/2014/main" id="{44D6285E-D2ED-46F9-A5C5-71128F897933}"/>
            </a:ext>
          </a:extLst>
        </xdr:cNvPr>
        <xdr:cNvSpPr/>
      </xdr:nvSpPr>
      <xdr:spPr>
        <a:xfrm>
          <a:off x="8624871" y="1433515"/>
          <a:ext cx="2405062" cy="1381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9</xdr:col>
      <xdr:colOff>400034</xdr:colOff>
      <xdr:row>7</xdr:row>
      <xdr:rowOff>66677</xdr:rowOff>
    </xdr:from>
    <xdr:to>
      <xdr:col>13</xdr:col>
      <xdr:colOff>328596</xdr:colOff>
      <xdr:row>14</xdr:row>
      <xdr:rowOff>114302</xdr:rowOff>
    </xdr:to>
    <xdr:sp macro="" textlink="">
      <xdr:nvSpPr>
        <xdr:cNvPr id="32" name="Rectangle 31">
          <a:extLst>
            <a:ext uri="{FF2B5EF4-FFF2-40B4-BE49-F238E27FC236}">
              <a16:creationId xmlns:a16="http://schemas.microsoft.com/office/drawing/2014/main" id="{5FED9627-4E41-4FD2-8D12-703C53358B44}"/>
            </a:ext>
          </a:extLst>
        </xdr:cNvPr>
        <xdr:cNvSpPr/>
      </xdr:nvSpPr>
      <xdr:spPr>
        <a:xfrm>
          <a:off x="5972159" y="1400177"/>
          <a:ext cx="2405062" cy="1381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5</xdr:col>
      <xdr:colOff>152385</xdr:colOff>
      <xdr:row>7</xdr:row>
      <xdr:rowOff>57152</xdr:rowOff>
    </xdr:from>
    <xdr:to>
      <xdr:col>9</xdr:col>
      <xdr:colOff>80947</xdr:colOff>
      <xdr:row>14</xdr:row>
      <xdr:rowOff>104777</xdr:rowOff>
    </xdr:to>
    <xdr:sp macro="" textlink="">
      <xdr:nvSpPr>
        <xdr:cNvPr id="31" name="Rectangle 30">
          <a:extLst>
            <a:ext uri="{FF2B5EF4-FFF2-40B4-BE49-F238E27FC236}">
              <a16:creationId xmlns:a16="http://schemas.microsoft.com/office/drawing/2014/main" id="{DB90903A-BBE2-4A58-85B6-5121C44C807B}"/>
            </a:ext>
          </a:extLst>
        </xdr:cNvPr>
        <xdr:cNvSpPr/>
      </xdr:nvSpPr>
      <xdr:spPr>
        <a:xfrm>
          <a:off x="3248010" y="1390652"/>
          <a:ext cx="2405062" cy="1381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523875</xdr:colOff>
      <xdr:row>7</xdr:row>
      <xdr:rowOff>23812</xdr:rowOff>
    </xdr:from>
    <xdr:to>
      <xdr:col>4</xdr:col>
      <xdr:colOff>452437</xdr:colOff>
      <xdr:row>14</xdr:row>
      <xdr:rowOff>71437</xdr:rowOff>
    </xdr:to>
    <xdr:sp macro="" textlink="">
      <xdr:nvSpPr>
        <xdr:cNvPr id="30" name="Rectangle 29">
          <a:extLst>
            <a:ext uri="{FF2B5EF4-FFF2-40B4-BE49-F238E27FC236}">
              <a16:creationId xmlns:a16="http://schemas.microsoft.com/office/drawing/2014/main" id="{469C5B05-57C5-E9FF-BCBE-EEAA45D03E17}"/>
            </a:ext>
          </a:extLst>
        </xdr:cNvPr>
        <xdr:cNvSpPr/>
      </xdr:nvSpPr>
      <xdr:spPr>
        <a:xfrm>
          <a:off x="523875" y="1357312"/>
          <a:ext cx="2405062" cy="138112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178258</xdr:colOff>
      <xdr:row>8</xdr:row>
      <xdr:rowOff>75179</xdr:rowOff>
    </xdr:from>
    <xdr:to>
      <xdr:col>18</xdr:col>
      <xdr:colOff>253100</xdr:colOff>
      <xdr:row>13</xdr:row>
      <xdr:rowOff>15501</xdr:rowOff>
    </xdr:to>
    <xdr:grpSp>
      <xdr:nvGrpSpPr>
        <xdr:cNvPr id="18" name="Group 17">
          <a:extLst>
            <a:ext uri="{FF2B5EF4-FFF2-40B4-BE49-F238E27FC236}">
              <a16:creationId xmlns:a16="http://schemas.microsoft.com/office/drawing/2014/main" id="{03E6CEAC-7045-F94A-ACFF-CA00638E6A5B}"/>
            </a:ext>
          </a:extLst>
        </xdr:cNvPr>
        <xdr:cNvGrpSpPr/>
      </xdr:nvGrpSpPr>
      <xdr:grpSpPr>
        <a:xfrm>
          <a:off x="178258" y="1599179"/>
          <a:ext cx="11047642" cy="892822"/>
          <a:chOff x="3569158" y="818129"/>
          <a:chExt cx="11052574" cy="892822"/>
        </a:xfrm>
      </xdr:grpSpPr>
      <xdr:sp macro="" textlink="'Free Pivot'!$B$9">
        <xdr:nvSpPr>
          <xdr:cNvPr id="3" name="Rectangle 2">
            <a:extLst>
              <a:ext uri="{FF2B5EF4-FFF2-40B4-BE49-F238E27FC236}">
                <a16:creationId xmlns:a16="http://schemas.microsoft.com/office/drawing/2014/main" id="{C46300FD-ED32-4B1F-85FD-BEC1CB4E795E}"/>
              </a:ext>
            </a:extLst>
          </xdr:cNvPr>
          <xdr:cNvSpPr/>
        </xdr:nvSpPr>
        <xdr:spPr>
          <a:xfrm>
            <a:off x="3569158" y="1281139"/>
            <a:ext cx="3088505" cy="405432"/>
          </a:xfrm>
          <a:prstGeom prst="rect">
            <a:avLst/>
          </a:prstGeom>
          <a:noFill/>
        </xdr:spPr>
        <xdr:txBody>
          <a:bodyPr wrap="square" lIns="91440" tIns="45720" rIns="91440" bIns="45720">
            <a:noAutofit/>
          </a:bodyPr>
          <a:lstStyle/>
          <a:p>
            <a:pPr algn="ctr"/>
            <a:fld id="{0F8D0FB1-8587-4AA7-B78C-37D0B346B6FC}" type="TxLink">
              <a:rPr lang="en-US" sz="2000" b="1" i="0" u="none" strike="noStrike">
                <a:solidFill>
                  <a:srgbClr val="000000"/>
                </a:solidFill>
                <a:effectLst/>
                <a:latin typeface="Aptos Narrow"/>
                <a:ea typeface="+mn-ea"/>
                <a:cs typeface="Arial"/>
              </a:rPr>
              <a:pPr algn="ctr"/>
              <a:t>Rp17.475.639.738</a:t>
            </a:fld>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1]Helper sheet'!B4">
        <xdr:nvSpPr>
          <xdr:cNvPr id="4" name="Rectangle 3">
            <a:extLst>
              <a:ext uri="{FF2B5EF4-FFF2-40B4-BE49-F238E27FC236}">
                <a16:creationId xmlns:a16="http://schemas.microsoft.com/office/drawing/2014/main" id="{B4CB6F35-B932-4E39-A5B0-F75848DE4F0C}"/>
              </a:ext>
            </a:extLst>
          </xdr:cNvPr>
          <xdr:cNvSpPr/>
        </xdr:nvSpPr>
        <xdr:spPr>
          <a:xfrm>
            <a:off x="3960855" y="835320"/>
            <a:ext cx="2228407" cy="387698"/>
          </a:xfrm>
          <a:prstGeom prst="rect">
            <a:avLst/>
          </a:prstGeom>
          <a:noFill/>
        </xdr:spPr>
        <xdr:txBody>
          <a:bodyPr wrap="square" lIns="91440" tIns="45720" rIns="91440" bIns="45720">
            <a:no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Total Sales</a:t>
            </a:r>
            <a:endParaRPr lang="en-US" sz="9600" b="0" cap="none" spc="0">
              <a:ln w="0"/>
              <a:solidFill>
                <a:schemeClr val="tx1"/>
              </a:solidFill>
              <a:effectLst>
                <a:outerShdw blurRad="38100" dist="19050" dir="2700000" algn="tl" rotWithShape="0">
                  <a:schemeClr val="dk1">
                    <a:alpha val="40000"/>
                  </a:schemeClr>
                </a:outerShdw>
              </a:effectLst>
            </a:endParaRPr>
          </a:p>
        </xdr:txBody>
      </xdr:sp>
      <xdr:sp macro="" textlink="'[1]Helper sheet'!B4">
        <xdr:nvSpPr>
          <xdr:cNvPr id="6" name="Rectangle 5">
            <a:extLst>
              <a:ext uri="{FF2B5EF4-FFF2-40B4-BE49-F238E27FC236}">
                <a16:creationId xmlns:a16="http://schemas.microsoft.com/office/drawing/2014/main" id="{23C0A573-C5B6-4C30-A172-28CEE8EF7636}"/>
              </a:ext>
            </a:extLst>
          </xdr:cNvPr>
          <xdr:cNvSpPr/>
        </xdr:nvSpPr>
        <xdr:spPr>
          <a:xfrm>
            <a:off x="6749668" y="831516"/>
            <a:ext cx="2172410" cy="387697"/>
          </a:xfrm>
          <a:prstGeom prst="rect">
            <a:avLst/>
          </a:prstGeom>
          <a:noFill/>
        </xdr:spPr>
        <xdr:txBody>
          <a:bodyPr wrap="square" lIns="91440" tIns="45720" rIns="91440" bIns="45720">
            <a:no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Total Profit</a:t>
            </a:r>
            <a:endParaRPr lang="en-US" sz="1800" b="0" cap="none" spc="0">
              <a:ln w="0"/>
              <a:solidFill>
                <a:schemeClr val="tx1"/>
              </a:solidFill>
              <a:effectLst>
                <a:outerShdw blurRad="38100" dist="19050" dir="2700000" algn="tl" rotWithShape="0">
                  <a:schemeClr val="dk1">
                    <a:alpha val="40000"/>
                  </a:schemeClr>
                </a:outerShdw>
              </a:effectLst>
            </a:endParaRPr>
          </a:p>
        </xdr:txBody>
      </xdr:sp>
      <xdr:grpSp>
        <xdr:nvGrpSpPr>
          <xdr:cNvPr id="7" name="Group 6">
            <a:extLst>
              <a:ext uri="{FF2B5EF4-FFF2-40B4-BE49-F238E27FC236}">
                <a16:creationId xmlns:a16="http://schemas.microsoft.com/office/drawing/2014/main" id="{6E9A7B56-3E63-42D0-AEA4-3EFBC8815F2D}"/>
              </a:ext>
            </a:extLst>
          </xdr:cNvPr>
          <xdr:cNvGrpSpPr/>
        </xdr:nvGrpSpPr>
        <xdr:grpSpPr>
          <a:xfrm>
            <a:off x="8796726" y="818129"/>
            <a:ext cx="3217815" cy="861490"/>
            <a:chOff x="8462619" y="1609436"/>
            <a:chExt cx="3217815" cy="861490"/>
          </a:xfrm>
          <a:solidFill>
            <a:schemeClr val="accent1">
              <a:lumMod val="40000"/>
              <a:lumOff val="60000"/>
            </a:schemeClr>
          </a:solidFill>
        </xdr:grpSpPr>
        <xdr:sp macro="" textlink="'Free Pivot'!$B$11">
          <xdr:nvSpPr>
            <xdr:cNvPr id="9" name="Rectangle 8">
              <a:extLst>
                <a:ext uri="{FF2B5EF4-FFF2-40B4-BE49-F238E27FC236}">
                  <a16:creationId xmlns:a16="http://schemas.microsoft.com/office/drawing/2014/main" id="{ED027423-4D33-C903-FA93-426F06FB44EC}"/>
                </a:ext>
              </a:extLst>
            </xdr:cNvPr>
            <xdr:cNvSpPr/>
          </xdr:nvSpPr>
          <xdr:spPr>
            <a:xfrm>
              <a:off x="8462619" y="2065494"/>
              <a:ext cx="3217815" cy="405432"/>
            </a:xfrm>
            <a:prstGeom prst="rect">
              <a:avLst/>
            </a:prstGeom>
            <a:noFill/>
          </xdr:spPr>
          <xdr:txBody>
            <a:bodyPr wrap="square" lIns="91440" tIns="45720" rIns="91440" bIns="45720">
              <a:noAutofit/>
            </a:bodyPr>
            <a:lstStyle/>
            <a:p>
              <a:pPr algn="ctr"/>
              <a:fld id="{A9A7311C-1DA8-47FF-A123-978CE1579C76}"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Aptos Narrow"/>
                </a:rPr>
                <a:pPr algn="ctr"/>
                <a:t>26019</a:t>
              </a:fld>
              <a:endParaRPr lang="en-US" sz="2000" b="0" cap="none" spc="0">
                <a:ln w="0"/>
                <a:solidFill>
                  <a:schemeClr val="tx1"/>
                </a:solidFill>
                <a:effectLst>
                  <a:outerShdw blurRad="38100" dist="19050" dir="2700000" algn="tl" rotWithShape="0">
                    <a:schemeClr val="dk1">
                      <a:alpha val="40000"/>
                    </a:schemeClr>
                  </a:outerShdw>
                </a:effectLst>
              </a:endParaRPr>
            </a:p>
          </xdr:txBody>
        </xdr:sp>
        <xdr:sp macro="" textlink="'[1]Helper sheet'!B4">
          <xdr:nvSpPr>
            <xdr:cNvPr id="10" name="Rectangle 9">
              <a:extLst>
                <a:ext uri="{FF2B5EF4-FFF2-40B4-BE49-F238E27FC236}">
                  <a16:creationId xmlns:a16="http://schemas.microsoft.com/office/drawing/2014/main" id="{10F090AB-F505-3906-D6D1-C7894B80E540}"/>
                </a:ext>
              </a:extLst>
            </xdr:cNvPr>
            <xdr:cNvSpPr/>
          </xdr:nvSpPr>
          <xdr:spPr>
            <a:xfrm>
              <a:off x="8929257" y="1609436"/>
              <a:ext cx="2321706" cy="387697"/>
            </a:xfrm>
            <a:prstGeom prst="rect">
              <a:avLst/>
            </a:prstGeom>
            <a:noFill/>
          </xdr:spPr>
          <xdr:txBody>
            <a:bodyPr wrap="square" lIns="91440" tIns="45720" rIns="91440" bIns="45720">
              <a:no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Quantity</a:t>
              </a:r>
              <a:endParaRPr lang="en-US" sz="1800" b="0" cap="none" spc="0">
                <a:ln w="0"/>
                <a:solidFill>
                  <a:schemeClr val="tx1"/>
                </a:solidFill>
                <a:effectLst>
                  <a:outerShdw blurRad="38100" dist="19050" dir="2700000" algn="tl" rotWithShape="0">
                    <a:schemeClr val="dk1">
                      <a:alpha val="40000"/>
                    </a:schemeClr>
                  </a:outerShdw>
                </a:effectLst>
              </a:endParaRPr>
            </a:p>
          </xdr:txBody>
        </xdr:sp>
      </xdr:grpSp>
      <xdr:sp macro="" textlink="'Free Pivot'!$B$12">
        <xdr:nvSpPr>
          <xdr:cNvPr id="12" name="Rectangle 11">
            <a:extLst>
              <a:ext uri="{FF2B5EF4-FFF2-40B4-BE49-F238E27FC236}">
                <a16:creationId xmlns:a16="http://schemas.microsoft.com/office/drawing/2014/main" id="{CD03AF47-FA99-4ACA-B4ED-6419906C44FB}"/>
              </a:ext>
            </a:extLst>
          </xdr:cNvPr>
          <xdr:cNvSpPr/>
        </xdr:nvSpPr>
        <xdr:spPr>
          <a:xfrm>
            <a:off x="11611707" y="1287153"/>
            <a:ext cx="3010025" cy="405432"/>
          </a:xfrm>
          <a:prstGeom prst="rect">
            <a:avLst/>
          </a:prstGeom>
          <a:noFill/>
        </xdr:spPr>
        <xdr:txBody>
          <a:bodyPr wrap="square" lIns="91440" tIns="45720" rIns="91440" bIns="45720">
            <a:noAutofit/>
          </a:bodyPr>
          <a:lstStyle/>
          <a:p>
            <a:pPr algn="ctr"/>
            <a:fld id="{1F4A231A-BA25-46B4-AE3B-8AD2F7F9E00E}" type="TxLink">
              <a:rPr lang="en-US" sz="2000" b="1" i="0" u="none" strike="noStrike">
                <a:solidFill>
                  <a:srgbClr val="000000"/>
                </a:solidFill>
                <a:effectLst/>
                <a:latin typeface="Aptos Narrow"/>
                <a:ea typeface="+mn-ea"/>
                <a:cs typeface="Arial"/>
              </a:rPr>
              <a:pPr algn="ctr"/>
              <a:t>48,58%</a:t>
            </a:fld>
            <a:endParaRPr lang="en-US" sz="2000" b="1" cap="none" spc="0">
              <a:ln w="0"/>
              <a:solidFill>
                <a:schemeClr val="tx1"/>
              </a:solidFill>
              <a:effectLst>
                <a:outerShdw blurRad="38100" dist="19050" dir="2700000" algn="tl" rotWithShape="0">
                  <a:schemeClr val="dk1">
                    <a:alpha val="40000"/>
                  </a:schemeClr>
                </a:outerShdw>
              </a:effectLst>
            </a:endParaRPr>
          </a:p>
        </xdr:txBody>
      </xdr:sp>
      <xdr:sp macro="" textlink="'[1]Helper sheet'!B4">
        <xdr:nvSpPr>
          <xdr:cNvPr id="13" name="Rectangle 12">
            <a:extLst>
              <a:ext uri="{FF2B5EF4-FFF2-40B4-BE49-F238E27FC236}">
                <a16:creationId xmlns:a16="http://schemas.microsoft.com/office/drawing/2014/main" id="{955C8544-7970-4520-AE34-9387CA5AFF47}"/>
              </a:ext>
            </a:extLst>
          </xdr:cNvPr>
          <xdr:cNvSpPr/>
        </xdr:nvSpPr>
        <xdr:spPr>
          <a:xfrm>
            <a:off x="11993455" y="880701"/>
            <a:ext cx="2171783" cy="387698"/>
          </a:xfrm>
          <a:prstGeom prst="rect">
            <a:avLst/>
          </a:prstGeom>
          <a:noFill/>
        </xdr:spPr>
        <xdr:txBody>
          <a:bodyPr wrap="square" lIns="91440" tIns="45720" rIns="91440" bIns="45720">
            <a:no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Profit Margin</a:t>
            </a:r>
            <a:endParaRPr lang="en-US" sz="1800" b="0" cap="none" spc="0">
              <a:ln w="0"/>
              <a:solidFill>
                <a:schemeClr val="tx1"/>
              </a:solidFill>
              <a:effectLst>
                <a:outerShdw blurRad="38100" dist="19050" dir="2700000" algn="tl" rotWithShape="0">
                  <a:schemeClr val="dk1">
                    <a:alpha val="40000"/>
                  </a:schemeClr>
                </a:outerShdw>
              </a:effectLst>
            </a:endParaRPr>
          </a:p>
        </xdr:txBody>
      </xdr:sp>
      <xdr:sp macro="" textlink="'Free Pivot'!$B$10">
        <xdr:nvSpPr>
          <xdr:cNvPr id="14" name="Rectangle 13">
            <a:extLst>
              <a:ext uri="{FF2B5EF4-FFF2-40B4-BE49-F238E27FC236}">
                <a16:creationId xmlns:a16="http://schemas.microsoft.com/office/drawing/2014/main" id="{8129CFD1-2C1D-4B08-A7B8-55A66AE0895C}"/>
              </a:ext>
            </a:extLst>
          </xdr:cNvPr>
          <xdr:cNvSpPr/>
        </xdr:nvSpPr>
        <xdr:spPr>
          <a:xfrm>
            <a:off x="6315257" y="1265146"/>
            <a:ext cx="3088505" cy="445805"/>
          </a:xfrm>
          <a:prstGeom prst="rect">
            <a:avLst/>
          </a:prstGeom>
          <a:noFill/>
        </xdr:spPr>
        <xdr:txBody>
          <a:bodyPr wrap="square" lIns="91440" tIns="45720" rIns="91440" bIns="45720">
            <a:noAutofit/>
          </a:bodyPr>
          <a:lstStyle/>
          <a:p>
            <a:pPr algn="ctr"/>
            <a:fld id="{6AB1752F-D427-46D9-9067-D978C5BDBB00}" type="TxLink">
              <a:rPr lang="en-US" sz="2000" b="1" i="0" u="none" strike="noStrike">
                <a:solidFill>
                  <a:srgbClr val="000000"/>
                </a:solidFill>
                <a:effectLst/>
                <a:latin typeface="Aptos Narrow"/>
                <a:ea typeface="+mn-ea"/>
                <a:cs typeface="+mn-cs"/>
              </a:rPr>
              <a:pPr algn="ctr"/>
              <a:t>Rp8.489.656.038</a:t>
            </a:fld>
            <a:endParaRPr lang="en-US" sz="20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3</xdr:col>
      <xdr:colOff>561175</xdr:colOff>
      <xdr:row>37</xdr:row>
      <xdr:rowOff>43417</xdr:rowOff>
    </xdr:from>
    <xdr:to>
      <xdr:col>5</xdr:col>
      <xdr:colOff>384593</xdr:colOff>
      <xdr:row>43</xdr:row>
      <xdr:rowOff>160156</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66FE3D21-96EA-4376-9C8C-4808340E81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402675" y="7091917"/>
              <a:ext cx="1051085" cy="12597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333375</xdr:colOff>
      <xdr:row>16</xdr:row>
      <xdr:rowOff>114299</xdr:rowOff>
    </xdr:from>
    <xdr:to>
      <xdr:col>24</xdr:col>
      <xdr:colOff>341018</xdr:colOff>
      <xdr:row>40</xdr:row>
      <xdr:rowOff>123824</xdr:rowOff>
    </xdr:to>
    <xdr:graphicFrame macro="">
      <xdr:nvGraphicFramePr>
        <xdr:cNvPr id="16" name="Chart 15">
          <a:extLst>
            <a:ext uri="{FF2B5EF4-FFF2-40B4-BE49-F238E27FC236}">
              <a16:creationId xmlns:a16="http://schemas.microsoft.com/office/drawing/2014/main" id="{0E04CBC8-6E14-406E-9985-7D2063E5E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xdr:colOff>
      <xdr:row>1</xdr:row>
      <xdr:rowOff>57150</xdr:rowOff>
    </xdr:from>
    <xdr:ext cx="15830550" cy="1143000"/>
    <xdr:sp macro="" textlink="">
      <xdr:nvSpPr>
        <xdr:cNvPr id="17" name="Rectangle 16">
          <a:extLst>
            <a:ext uri="{FF2B5EF4-FFF2-40B4-BE49-F238E27FC236}">
              <a16:creationId xmlns:a16="http://schemas.microsoft.com/office/drawing/2014/main" id="{C06C2437-E5CB-4B41-8866-19C3E41A8F63}"/>
            </a:ext>
          </a:extLst>
        </xdr:cNvPr>
        <xdr:cNvSpPr/>
      </xdr:nvSpPr>
      <xdr:spPr>
        <a:xfrm>
          <a:off x="1" y="247650"/>
          <a:ext cx="15830550" cy="1143000"/>
        </a:xfrm>
        <a:prstGeom prst="rect">
          <a:avLst/>
        </a:prstGeom>
        <a:solidFill>
          <a:schemeClr val="tx2">
            <a:lumMod val="75000"/>
            <a:lumOff val="25000"/>
          </a:schemeClr>
        </a:solidFill>
      </xdr:spPr>
      <xdr:txBody>
        <a:bodyPr wrap="square" lIns="91440" tIns="45720" rIns="91440" bIns="45720">
          <a:noAutofit/>
        </a:bodyPr>
        <a:lstStyle/>
        <a:p>
          <a:pPr algn="ctr"/>
          <a:r>
            <a:rPr lang="en-US" sz="5400" b="1" cap="none" spc="0">
              <a:ln w="12700" cmpd="sng">
                <a:solidFill>
                  <a:schemeClr val="accent4"/>
                </a:solidFill>
                <a:prstDash val="solid"/>
              </a:ln>
              <a:solidFill>
                <a:srgbClr val="FF9900"/>
              </a:solidFill>
              <a:effectLst/>
            </a:rPr>
            <a:t>SALES</a:t>
          </a:r>
          <a:r>
            <a:rPr lang="en-US" sz="5400" b="1" cap="none" spc="0" baseline="0">
              <a:ln w="12700" cmpd="sng">
                <a:solidFill>
                  <a:schemeClr val="accent4"/>
                </a:solidFill>
                <a:prstDash val="solid"/>
              </a:ln>
              <a:solidFill>
                <a:srgbClr val="FF9900"/>
              </a:solidFill>
              <a:effectLst/>
            </a:rPr>
            <a:t> &amp; OPERATIONS PERFOMANCE DASHBOARD</a:t>
          </a:r>
          <a:endParaRPr lang="en-US" sz="5400" b="1" cap="none" spc="0">
            <a:ln w="12700" cmpd="sng">
              <a:solidFill>
                <a:schemeClr val="accent4"/>
              </a:solidFill>
              <a:prstDash val="solid"/>
            </a:ln>
            <a:solidFill>
              <a:srgbClr val="FF9900"/>
            </a:solidFill>
            <a:effectLst/>
          </a:endParaRPr>
        </a:p>
      </xdr:txBody>
    </xdr:sp>
    <xdr:clientData/>
  </xdr:oneCellAnchor>
  <xdr:twoCellAnchor>
    <xdr:from>
      <xdr:col>18</xdr:col>
      <xdr:colOff>487818</xdr:colOff>
      <xdr:row>10</xdr:row>
      <xdr:rowOff>140294</xdr:rowOff>
    </xdr:from>
    <xdr:to>
      <xdr:col>23</xdr:col>
      <xdr:colOff>449843</xdr:colOff>
      <xdr:row>12</xdr:row>
      <xdr:rowOff>164726</xdr:rowOff>
    </xdr:to>
    <xdr:sp macro="" textlink="'Free Pivot'!B13">
      <xdr:nvSpPr>
        <xdr:cNvPr id="20" name="Rectangle 19">
          <a:extLst>
            <a:ext uri="{FF2B5EF4-FFF2-40B4-BE49-F238E27FC236}">
              <a16:creationId xmlns:a16="http://schemas.microsoft.com/office/drawing/2014/main" id="{33CF22AF-A5AC-4055-BC91-5A1828EC2949}"/>
            </a:ext>
          </a:extLst>
        </xdr:cNvPr>
        <xdr:cNvSpPr/>
      </xdr:nvSpPr>
      <xdr:spPr>
        <a:xfrm>
          <a:off x="11632068" y="2045294"/>
          <a:ext cx="3057650" cy="405432"/>
        </a:xfrm>
        <a:prstGeom prst="rect">
          <a:avLst/>
        </a:prstGeom>
        <a:noFill/>
      </xdr:spPr>
      <xdr:txBody>
        <a:bodyPr wrap="square" lIns="91440" tIns="45720" rIns="91440" bIns="45720">
          <a:noAutofit/>
        </a:bodyPr>
        <a:lstStyle/>
        <a:p>
          <a:pPr algn="ctr"/>
          <a:fld id="{80CB5B90-A502-401A-B88F-DCAA99C6EC96}" type="TxLink">
            <a:rPr lang="en-US" sz="2000" b="1" i="0" u="none" strike="noStrike">
              <a:solidFill>
                <a:srgbClr val="000000"/>
              </a:solidFill>
              <a:latin typeface="Aptos Narrow"/>
            </a:rPr>
            <a:pPr algn="ctr"/>
            <a:t>26</a:t>
          </a:fld>
          <a:endParaRPr lang="en-US" sz="2000" b="1" i="0" u="none" strike="noStrike">
            <a:solidFill>
              <a:srgbClr val="000000"/>
            </a:solidFill>
            <a:latin typeface="Aptos Narrow"/>
          </a:endParaRPr>
        </a:p>
      </xdr:txBody>
    </xdr:sp>
    <xdr:clientData/>
  </xdr:twoCellAnchor>
  <xdr:twoCellAnchor>
    <xdr:from>
      <xdr:col>18</xdr:col>
      <xdr:colOff>40895</xdr:colOff>
      <xdr:row>8</xdr:row>
      <xdr:rowOff>95792</xdr:rowOff>
    </xdr:from>
    <xdr:to>
      <xdr:col>24</xdr:col>
      <xdr:colOff>147635</xdr:colOff>
      <xdr:row>10</xdr:row>
      <xdr:rowOff>133350</xdr:rowOff>
    </xdr:to>
    <xdr:sp macro="" textlink="'[1]Helper sheet'!B4">
      <xdr:nvSpPr>
        <xdr:cNvPr id="21" name="Rectangle 20">
          <a:extLst>
            <a:ext uri="{FF2B5EF4-FFF2-40B4-BE49-F238E27FC236}">
              <a16:creationId xmlns:a16="http://schemas.microsoft.com/office/drawing/2014/main" id="{ADAB7C32-F468-4DA2-9CE6-DEAD36B9C693}"/>
            </a:ext>
          </a:extLst>
        </xdr:cNvPr>
        <xdr:cNvSpPr/>
      </xdr:nvSpPr>
      <xdr:spPr>
        <a:xfrm>
          <a:off x="11185145" y="1619792"/>
          <a:ext cx="3821490" cy="418558"/>
        </a:xfrm>
        <a:prstGeom prst="rect">
          <a:avLst/>
        </a:prstGeom>
        <a:noFill/>
      </xdr:spPr>
      <xdr:txBody>
        <a:bodyPr wrap="square" lIns="91440" tIns="45720" rIns="91440" bIns="45720">
          <a:noAutofit/>
        </a:bodyPr>
        <a:lstStyle/>
        <a:p>
          <a:pPr algn="ctr"/>
          <a:r>
            <a:rPr lang="en-US" sz="1800" b="0" i="0" u="none" strike="noStrike" cap="none" spc="0">
              <a:ln w="0"/>
              <a:solidFill>
                <a:srgbClr val="000000"/>
              </a:solidFill>
              <a:effectLst>
                <a:outerShdw blurRad="38100" dist="19050" dir="2700000" algn="tl" rotWithShape="0">
                  <a:schemeClr val="dk1">
                    <a:alpha val="40000"/>
                  </a:schemeClr>
                </a:outerShdw>
              </a:effectLst>
              <a:latin typeface="Arial"/>
              <a:cs typeface="Arial"/>
            </a:rPr>
            <a:t>Average</a:t>
          </a:r>
          <a:r>
            <a:rPr lang="en-US" sz="1800" b="0" i="0" u="none" strike="noStrike" cap="none" spc="0" baseline="0">
              <a:ln w="0"/>
              <a:solidFill>
                <a:srgbClr val="000000"/>
              </a:solidFill>
              <a:effectLst>
                <a:outerShdw blurRad="38100" dist="19050" dir="2700000" algn="tl" rotWithShape="0">
                  <a:schemeClr val="dk1">
                    <a:alpha val="40000"/>
                  </a:schemeClr>
                </a:outerShdw>
              </a:effectLst>
              <a:latin typeface="Arial"/>
              <a:cs typeface="Arial"/>
            </a:rPr>
            <a:t> Order Value (AOV)</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81472</xdr:colOff>
      <xdr:row>31</xdr:row>
      <xdr:rowOff>66643</xdr:rowOff>
    </xdr:from>
    <xdr:to>
      <xdr:col>5</xdr:col>
      <xdr:colOff>448094</xdr:colOff>
      <xdr:row>36</xdr:row>
      <xdr:rowOff>104633</xdr:rowOff>
    </xdr:to>
    <mc:AlternateContent xmlns:mc="http://schemas.openxmlformats.org/markup-compatibility/2006" xmlns:a14="http://schemas.microsoft.com/office/drawing/2010/main">
      <mc:Choice Requires="a14">
        <xdr:graphicFrame macro="">
          <xdr:nvGraphicFramePr>
            <xdr:cNvPr id="27" name="Customer Type">
              <a:extLst>
                <a:ext uri="{FF2B5EF4-FFF2-40B4-BE49-F238E27FC236}">
                  <a16:creationId xmlns:a16="http://schemas.microsoft.com/office/drawing/2014/main" id="{E941B87F-878A-45CB-BD38-A387C7B89CC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95305" y="5972143"/>
              <a:ext cx="2821956" cy="99049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342900</xdr:colOff>
      <xdr:row>41</xdr:row>
      <xdr:rowOff>95250</xdr:rowOff>
    </xdr:from>
    <xdr:to>
      <xdr:col>14</xdr:col>
      <xdr:colOff>38100</xdr:colOff>
      <xdr:row>55</xdr:row>
      <xdr:rowOff>171450</xdr:rowOff>
    </xdr:to>
    <xdr:graphicFrame macro="">
      <xdr:nvGraphicFramePr>
        <xdr:cNvPr id="28" name="Chart 27">
          <a:extLst>
            <a:ext uri="{FF2B5EF4-FFF2-40B4-BE49-F238E27FC236}">
              <a16:creationId xmlns:a16="http://schemas.microsoft.com/office/drawing/2014/main" id="{E12D1BCD-EB68-476C-86EE-7BA5F2931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224118</xdr:colOff>
      <xdr:row>41</xdr:row>
      <xdr:rowOff>109257</xdr:rowOff>
    </xdr:from>
    <xdr:to>
      <xdr:col>24</xdr:col>
      <xdr:colOff>313764</xdr:colOff>
      <xdr:row>55</xdr:row>
      <xdr:rowOff>185457</xdr:rowOff>
    </xdr:to>
    <xdr:graphicFrame macro="">
      <xdr:nvGraphicFramePr>
        <xdr:cNvPr id="36" name="Chart 35">
          <a:extLst>
            <a:ext uri="{FF2B5EF4-FFF2-40B4-BE49-F238E27FC236}">
              <a16:creationId xmlns:a16="http://schemas.microsoft.com/office/drawing/2014/main" id="{B2A62B2B-2D50-4597-8026-D5F2772D8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103437</xdr:colOff>
      <xdr:row>37</xdr:row>
      <xdr:rowOff>8416</xdr:rowOff>
    </xdr:from>
    <xdr:to>
      <xdr:col>3</xdr:col>
      <xdr:colOff>390985</xdr:colOff>
      <xdr:row>43</xdr:row>
      <xdr:rowOff>147676</xdr:rowOff>
    </xdr:to>
    <mc:AlternateContent xmlns:mc="http://schemas.openxmlformats.org/markup-compatibility/2006" xmlns:a14="http://schemas.microsoft.com/office/drawing/2010/main">
      <mc:Choice Requires="a14">
        <xdr:graphicFrame macro="">
          <xdr:nvGraphicFramePr>
            <xdr:cNvPr id="37" name="Ship Mode">
              <a:extLst>
                <a:ext uri="{FF2B5EF4-FFF2-40B4-BE49-F238E27FC236}">
                  <a16:creationId xmlns:a16="http://schemas.microsoft.com/office/drawing/2014/main" id="{23EA67B2-D49D-455A-94F8-724EE0F9256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717270" y="7056916"/>
              <a:ext cx="1515215" cy="12822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413685</xdr:colOff>
      <xdr:row>56</xdr:row>
      <xdr:rowOff>141777</xdr:rowOff>
    </xdr:from>
    <xdr:to>
      <xdr:col>21</xdr:col>
      <xdr:colOff>374780</xdr:colOff>
      <xdr:row>70</xdr:row>
      <xdr:rowOff>117336</xdr:rowOff>
    </xdr:to>
    <xdr:graphicFrame macro="">
      <xdr:nvGraphicFramePr>
        <xdr:cNvPr id="38" name="Chart 37">
          <a:extLst>
            <a:ext uri="{FF2B5EF4-FFF2-40B4-BE49-F238E27FC236}">
              <a16:creationId xmlns:a16="http://schemas.microsoft.com/office/drawing/2014/main" id="{83149F53-88DD-4C57-A7F1-51063B01E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84667</xdr:colOff>
      <xdr:row>24</xdr:row>
      <xdr:rowOff>24</xdr:rowOff>
    </xdr:from>
    <xdr:to>
      <xdr:col>5</xdr:col>
      <xdr:colOff>529166</xdr:colOff>
      <xdr:row>30</xdr:row>
      <xdr:rowOff>96626</xdr:rowOff>
    </xdr:to>
    <mc:AlternateContent xmlns:mc="http://schemas.openxmlformats.org/markup-compatibility/2006" xmlns:a14="http://schemas.microsoft.com/office/drawing/2010/main">
      <mc:Choice Requires="a14">
        <xdr:graphicFrame macro="">
          <xdr:nvGraphicFramePr>
            <xdr:cNvPr id="39" name="Product Container">
              <a:extLst>
                <a:ext uri="{FF2B5EF4-FFF2-40B4-BE49-F238E27FC236}">
                  <a16:creationId xmlns:a16="http://schemas.microsoft.com/office/drawing/2014/main" id="{0C58DC0E-9FEE-4037-8E4A-E8E234B3D522}"/>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mlns="">
        <xdr:sp macro="" textlink="">
          <xdr:nvSpPr>
            <xdr:cNvPr id="0" name=""/>
            <xdr:cNvSpPr>
              <a:spLocks noTextEdit="1"/>
            </xdr:cNvSpPr>
          </xdr:nvSpPr>
          <xdr:spPr>
            <a:xfrm>
              <a:off x="698500" y="4572024"/>
              <a:ext cx="2899833" cy="123960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105834</xdr:colOff>
      <xdr:row>16</xdr:row>
      <xdr:rowOff>126997</xdr:rowOff>
    </xdr:from>
    <xdr:to>
      <xdr:col>5</xdr:col>
      <xdr:colOff>465666</xdr:colOff>
      <xdr:row>23</xdr:row>
      <xdr:rowOff>23050</xdr:rowOff>
    </xdr:to>
    <mc:AlternateContent xmlns:mc="http://schemas.openxmlformats.org/markup-compatibility/2006" xmlns:a14="http://schemas.microsoft.com/office/drawing/2010/main">
      <mc:Choice Requires="a14">
        <xdr:graphicFrame macro="">
          <xdr:nvGraphicFramePr>
            <xdr:cNvPr id="41" name="Order Date (Month)">
              <a:extLst>
                <a:ext uri="{FF2B5EF4-FFF2-40B4-BE49-F238E27FC236}">
                  <a16:creationId xmlns:a16="http://schemas.microsoft.com/office/drawing/2014/main" id="{23A551FE-0D26-4032-8FEC-9287FB7056D4}"/>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719667" y="3174997"/>
              <a:ext cx="2815166" cy="12295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610572</xdr:colOff>
      <xdr:row>44</xdr:row>
      <xdr:rowOff>75955</xdr:rowOff>
    </xdr:from>
    <xdr:to>
      <xdr:col>4</xdr:col>
      <xdr:colOff>607641</xdr:colOff>
      <xdr:row>51</xdr:row>
      <xdr:rowOff>2686</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8CBABCB5-374A-4D25-907F-CEF3036FB15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20172" y="8457955"/>
              <a:ext cx="1825869" cy="12602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J:\projek\excel\Case%20Study%201%20-%20Sales%20Analysis.xlsx" TargetMode="External"/><Relationship Id="rId1" Type="http://schemas.openxmlformats.org/officeDocument/2006/relationships/externalLinkPath" Target="Case%20Study%201%20-%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rder Data"/>
      <sheetName val="Case Study"/>
      <sheetName val="Sheet1"/>
      <sheetName val="practice"/>
      <sheetName val="Helper sheet"/>
      <sheetName val="Dashboard"/>
    </sheetNames>
    <sheetDataSet>
      <sheetData sheetId="0"/>
      <sheetData sheetId="1"/>
      <sheetData sheetId="2"/>
      <sheetData sheetId="3"/>
      <sheetData sheetId="4"/>
      <sheetData sheetId="5"/>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397685186" createdVersion="5" refreshedVersion="8" minRefreshableVersion="3" recordCount="0" supportSubquery="1" supportAdvancedDrill="1" xr:uid="{FBB464C8-EC28-45E0-B16D-DDC62C1531A5}">
  <cacheSource type="external" connectionId="6"/>
  <cacheFields count="9">
    <cacheField name="[Measures].[Profit Margin]" caption="Profit Margin" numFmtId="0" hierarchy="40" level="32767"/>
    <cacheField name="[Measures].[Total Profit]" caption="Total Profit" numFmtId="0" hierarchy="39" level="32767"/>
    <cacheField name="[Measures].[Total Sales]" caption="Total Sales" numFmtId="0" hierarchy="38" level="32767"/>
    <cacheField name="[Measures].[Sum of Order Quantity]" caption="Sum of Order Quantity" numFmtId="0" hierarchy="50" level="32767"/>
    <cacheField name="[Measures].[Average Order Value (AOV)]" caption="Average Order Value (AOV)" numFmtId="0" hierarchy="41" level="32767"/>
    <cacheField name="[Customer].[City].[City]" caption="City" numFmtId="0" hierarchy="3" level="1">
      <sharedItems containsSemiMixedTypes="0" containsNonDate="0" containsString="0"/>
    </cacheField>
    <cacheField name="[Customer].[Customer Type].[Customer Type]" caption="Customer Type" numFmtId="0" hierarchy="2" level="1">
      <sharedItems containsSemiMixedTypes="0" containsNonDate="0" containsString="0"/>
    </cacheField>
    <cacheField name="[Raw Data].[Order Date].[Order Date]" caption="Order Date" numFmtId="0" hierarchy="19" level="1">
      <sharedItems containsSemiMixedTypes="0" containsNonDate="0" containsString="0"/>
    </cacheField>
    <cacheField name="[Raw Data].[Order Date (Month)].[Order Date (Month)]" caption="Order Date (Month)" numFmtId="0" hierarchy="34"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6"/>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5"/>
      </fieldsUsage>
    </cacheHierarchy>
    <cacheHierarchy uniqueName="[Employee].[Employee ID]" caption="Employee ID" attribute="1" defaultMemberUniqueName="[Employee].[Employee ID].[All]" allUniqueName="[Employee].[Employee ID].[All]" dimensionUniqueName="[Employee]" displayFolder="" count="2" memberValueDatatype="130" unbalanced="0"/>
    <cacheHierarchy uniqueName="[Employee].[First]" caption="First" attribute="1" defaultMemberUniqueName="[Employee].[First].[All]" allUniqueName="[Employee].[First].[All]" dimensionUniqueName="[Employee]" displayFolder="" count="2" memberValueDatatype="130" unbalanced="0"/>
    <cacheHierarchy uniqueName="[Employee].[Last]" caption="Last" attribute="1" defaultMemberUniqueName="[Employee].[Last].[All]" allUniqueName="[Employee].[Last].[All]" dimensionUniqueName="[Employee]" displayFolder="" count="2" memberValueDatatype="130" unbalanced="0"/>
    <cacheHierarchy uniqueName="[Employee].[Date of Birth]" caption="Date of Birth" attribute="1" time="1" defaultMemberUniqueName="[Employee].[Date of Birth].[All]" allUniqueName="[Employee].[Date of Birth].[All]" dimensionUniqueName="[Employee]" displayFolder="" count="2" memberValueDatatype="7" unbalanced="0"/>
    <cacheHierarchy uniqueName="[Employee].[Department]" caption="Department" attribute="1" defaultMemberUniqueName="[Employee].[Department].[All]" allUniqueName="[Employee].[Department].[All]" dimensionUniqueName="[Employee]" displayFolder="" count="2" memberValueDatatype="130" unbalanced="0"/>
    <cacheHierarchy uniqueName="[Employee].[City]" caption="City" attribute="1" defaultMemberUniqueName="[Employee].[City].[All]" allUniqueName="[Employee].[City].[All]" dimensionUniqueName="[Employee]" displayFolder="" count="2" memberValueDatatype="130" unbalanced="0"/>
    <cacheHierarchy uniqueName="[Employee].[Floor]" caption="Floor" attribute="1" defaultMemberUniqueName="[Employee].[Floor].[All]" allUniqueName="[Employee].[Floor].[All]" dimensionUniqueName="[Employee]" displayFolder="" count="2" memberValueDatatype="5" unbalanced="0"/>
    <cacheHierarchy uniqueName="[Employee].[Call]" caption="Call" attribute="1" defaultMemberUniqueName="[Employee].[Call].[All]" allUniqueName="[Employee].[Call].[All]" dimensionUniqueName="[Employee]" displayFolder="" count="2" memberValueDatatype="5" unbalanced="0"/>
    <cacheHierarchy uniqueName="[Employee].[Full Name]" caption="Full Name" attribute="1" defaultMemberUniqueName="[Employee].[Full Name].[All]" allUniqueName="[Employee].[Full Name].[All]" dimensionUniqueName="[Employee]" displayFolder="" count="2" memberValueDatatype="130" unbalanced="0"/>
    <cacheHierarchy uniqueName="[Employee].[Age]" caption="Age" attribute="1" defaultMemberUniqueName="[Employee].[Age].[All]" allUniqueName="[Employee].[Age].[All]" dimensionUniqueName="[Employee]" displayFolder="" count="2" memberValueDatatype="2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Product Category]" caption="Product Category" attribute="1" defaultMemberUniqueName="[Product].[Product Category].[All]" allUniqueName="[Product].[Product Category].[All]" dimensionUniqueName="[Product]" displayFolder="" count="2" memberValueDatatype="130" unbalanced="0"/>
    <cacheHierarchy uniqueName="[Product].[Cost Price]" caption="Cost Price" attribute="1" defaultMemberUniqueName="[Product].[Cost Price].[All]" allUniqueName="[Product].[Cost Price].[All]" dimensionUniqueName="[Product]" displayFolder="" count="2" memberValueDatatype="5" unbalanced="0"/>
    <cacheHierarchy uniqueName="[Product].[Retail Price]" caption="Retail Price" attribute="1" defaultMemberUniqueName="[Product].[Retail Price].[All]" allUniqueName="[Product].[Retail Price].[All]" dimensionUniqueName="[Product]" displayFolder="" count="2" memberValueDatatype="5" unbalanced="0"/>
    <cacheHierarchy uniqueName="[Raw Data].[Order No]" caption="Order No" attribute="1" defaultMemberUniqueName="[Raw Data].[Order No].[All]" allUniqueName="[Raw Data].[Order No].[All]" dimensionUniqueName="[Raw Data]" displayFolder="" count="2" memberValueDatatype="130" unbalanced="0"/>
    <cacheHierarchy uniqueName="[Raw Data].[Order Date]" caption="Order Date" attribute="1" time="1" defaultMemberUniqueName="[Raw Data].[Order Date].[All]" allUniqueName="[Raw Data].[Order Date].[All]" dimensionUniqueName="[Raw Data]" displayFolder="" count="2" memberValueDatatype="7" unbalanced="0">
      <fieldsUsage count="2">
        <fieldUsage x="-1"/>
        <fieldUsage x="7"/>
      </fieldsUsage>
    </cacheHierarchy>
    <cacheHierarchy uniqueName="[Raw Data].[Customer Name]" caption="Customer Name" attribute="1" defaultMemberUniqueName="[Raw Data].[Customer Name].[All]" allUniqueName="[Raw Data].[Customer Name].[All]" dimensionUniqueName="[Raw Data]" displayFolder="" count="2" memberValueDatatype="130" unbalanced="0"/>
    <cacheHierarchy uniqueName="[Raw Data].[Account Manager ID]" caption="Account Manager ID" attribute="1" defaultMemberUniqueName="[Raw Data].[Account Manager ID].[All]" allUniqueName="[Raw Data].[Account Manager ID].[All]" dimensionUniqueName="[Raw Data]" displayFolder="" count="2" memberValueDatatype="130" unbalanced="0"/>
    <cacheHierarchy uniqueName="[Raw Data].[Order Priority]" caption="Order Priority" attribute="1" defaultMemberUniqueName="[Raw Data].[Order Priority].[All]" allUniqueName="[Raw Data].[Order Priority].[All]" dimensionUniqueName="[Raw Data]" displayFolder="" count="2" memberValueDatatype="130" unbalanced="0"/>
    <cacheHierarchy uniqueName="[Raw Data].[Product Name]" caption="Product Name" attribute="1" defaultMemberUniqueName="[Raw Data].[Product Name].[All]" allUniqueName="[Raw Data].[Product Name].[All]" dimensionUniqueName="[Raw Data]" displayFolder="" count="2"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2" memberValueDatatype="130" unbalanced="0"/>
    <cacheHierarchy uniqueName="[Raw Data].[Ship Date]" caption="Ship Date" attribute="1" time="1" defaultMemberUniqueName="[Raw Data].[Ship Date].[All]" allUniqueName="[Raw Data].[Ship Date].[All]" dimensionUniqueName="[Raw Data]" displayFolder="" count="2" memberValueDatatype="7" unbalanced="0"/>
    <cacheHierarchy uniqueName="[Raw Data].[Order Quantity]" caption="Order Quantity" attribute="1" defaultMemberUniqueName="[Raw Data].[Order Quantity].[All]" allUniqueName="[Raw Data].[Order Quantity].[All]" dimensionUniqueName="[Raw Data]" displayFolder="" count="2" memberValueDatatype="5" unbalanced="0"/>
    <cacheHierarchy uniqueName="[Raw Data].[Discount %]" caption="Discount %" attribute="1" defaultMemberUniqueName="[Raw Data].[Discount %].[All]" allUniqueName="[Raw Data].[Discount %].[All]" dimensionUniqueName="[Raw Data]" displayFolder="" count="2" memberValueDatatype="5" unbalanced="0"/>
    <cacheHierarchy uniqueName="[Raw Data].[Gross Sales]" caption="Gross Sales" attribute="1" defaultMemberUniqueName="[Raw Data].[Gross Sales].[All]" allUniqueName="[Raw Data].[Gross Sales].[All]" dimensionUniqueName="[Raw Data]" displayFolder="" count="2" memberValueDatatype="5" unbalanced="0"/>
    <cacheHierarchy uniqueName="[Raw Data].[COGs]" caption="COGs" attribute="1" defaultMemberUniqueName="[Raw Data].[COGs].[All]" allUniqueName="[Raw Data].[COGs].[All]" dimensionUniqueName="[Raw Data]" displayFolder="" count="2" memberValueDatatype="5" unbalanced="0"/>
    <cacheHierarchy uniqueName="[Raw Data].[Margin]" caption="Margin" attribute="1" defaultMemberUniqueName="[Raw Data].[Margin].[All]" allUniqueName="[Raw Data].[Margin].[All]" dimensionUniqueName="[Raw Data]" displayFolder="" count="2" memberValueDatatype="5" unbalanced="0"/>
    <cacheHierarchy uniqueName="[Raw Data].[Order Date (Year)]" caption="Order Date (Year)" attribute="1" defaultMemberUniqueName="[Raw Data].[Order Date (Year)].[All]" allUniqueName="[Raw Data].[Order Date (Year)].[All]" dimensionUniqueName="[Raw Data]" displayFolder="" count="2" memberValueDatatype="130" unbalanced="0"/>
    <cacheHierarchy uniqueName="[Raw Data].[Order Date (Quarter)]" caption="Order Date (Quarter)" attribute="1" defaultMemberUniqueName="[Raw Data].[Order Date (Quarter)].[All]" allUniqueName="[Raw Data].[Order Date (Quarter)].[All]" dimensionUniqueName="[Raw Data]" displayFolder="" count="2"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8"/>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2"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2" memberValueDatatype="20" unbalanced="0" hidden="1"/>
    <cacheHierarchy uniqueName="[Measures].[Total Sales]" caption="Total Sales" measure="1" displayFolder="" measureGroup="Raw Data" count="0" oneField="1">
      <fieldsUsage count="1">
        <fieldUsage x="2"/>
      </fieldsUsage>
    </cacheHierarchy>
    <cacheHierarchy uniqueName="[Measures].[Total Profit]" caption="Total Profit" measure="1" displayFolder="" measureGroup="Raw Data" count="0" oneField="1">
      <fieldsUsage count="1">
        <fieldUsage x="1"/>
      </fieldsUsage>
    </cacheHierarchy>
    <cacheHierarchy uniqueName="[Measures].[Profit Margin]" caption="Profit Margin" measure="1" displayFolder="" measureGroup="Raw Data" count="0" oneField="1">
      <fieldsUsage count="1">
        <fieldUsage x="0"/>
      </fieldsUsage>
    </cacheHierarchy>
    <cacheHierarchy uniqueName="[Measures].[Average Order Value (AOV)]" caption="Average Order Value (AOV)" measure="1" displayFolder="" measureGroup="Raw Data" count="0" oneField="1">
      <fieldsUsage count="1">
        <fieldUsage x="4"/>
      </fieldsUsage>
    </cacheHierarchy>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oneField="1" hidden="1">
      <fieldsUsage count="1">
        <fieldUsage x="3"/>
      </fieldsUsage>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399305557" createdVersion="5" refreshedVersion="8" minRefreshableVersion="3" recordCount="0" supportSubquery="1" supportAdvancedDrill="1" xr:uid="{3F598970-6F5F-4F15-BECD-C2A9C8E59D1E}">
  <cacheSource type="external" connectionId="6"/>
  <cacheFields count="5">
    <cacheField name="[Customer].[City].[City]" caption="City" numFmtId="0" hierarchy="3" level="1">
      <sharedItems count="3">
        <s v="Bandung"/>
        <s v="Jakarta"/>
        <s v="Surabaya"/>
      </sharedItems>
    </cacheField>
    <cacheField name="[Measures].[Profit Margin]" caption="Profit Margin" numFmtId="0" hierarchy="40" level="32767"/>
    <cacheField name="[Measures].[Total Profit]" caption="Total Profit" numFmtId="0" hierarchy="39" level="32767"/>
    <cacheField name="[Customer].[Customer Type].[Customer Type]" caption="Customer Type" numFmtId="0" hierarchy="2" level="1">
      <sharedItems containsSemiMixedTypes="0" containsNonDate="0" containsString="0"/>
    </cacheField>
    <cacheField name="[Raw Data].[Order Date (Month)].[Order Date (Month)]" caption="Order Date (Month)" numFmtId="0" hierarchy="34"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4"/>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cacheHierarchy uniqueName="[Measures].[Total Profit]" caption="Total Profit" measure="1" displayFolder="" measureGroup="Raw Data" count="0" oneField="1">
      <fieldsUsage count="1">
        <fieldUsage x="2"/>
      </fieldsUsage>
    </cacheHierarchy>
    <cacheHierarchy uniqueName="[Measures].[Profit Margin]" caption="Profit Margin" measure="1" displayFolder="" measureGroup="Raw Data" count="0" oneField="1">
      <fieldsUsage count="1">
        <fieldUsage x="1"/>
      </fieldsUsage>
    </cacheHierarchy>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401157404" createdVersion="5" refreshedVersion="8" minRefreshableVersion="3" recordCount="0" supportSubquery="1" supportAdvancedDrill="1" xr:uid="{E5664B84-2378-4292-AE1A-D440C8AFD1F4}">
  <cacheSource type="external" connectionId="6"/>
  <cacheFields count="5">
    <cacheField name="[Measures].[Profit Margin]" caption="Profit Margin" numFmtId="0" hierarchy="40" level="32767"/>
    <cacheField name="[Measures].[Total Profit]" caption="Total Profit" numFmtId="0" hierarchy="39" level="32767"/>
    <cacheField name="[Raw Data].[Order Date (Month)].[Order Date (Month)]" caption="Order Date (Month)" numFmtId="0" hierarchy="34" level="1">
      <sharedItems count="12">
        <s v="Jan"/>
        <s v="Feb"/>
        <s v="Mar"/>
        <s v="Apr"/>
        <s v="May"/>
        <s v="Jun"/>
        <s v="Jul"/>
        <s v="Aug"/>
        <s v="Sep"/>
        <s v="Oct"/>
        <s v="Nov"/>
        <s v="Dec"/>
      </sharedItems>
    </cacheField>
    <cacheField name="[Customer].[City].[City]" caption="City" numFmtId="0" hierarchy="3" level="1">
      <sharedItems containsSemiMixedTypes="0" containsNonDate="0" containsString="0"/>
    </cacheField>
    <cacheField name="[Customer].[Customer Type].[Customer Type]" caption="Customer Type" numFmtId="0" hierarchy="2"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2"/>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cacheHierarchy uniqueName="[Measures].[Total Profit]" caption="Total Profit" measure="1" displayFolder="" measureGroup="Raw Data" count="0" oneField="1">
      <fieldsUsage count="1">
        <fieldUsage x="1"/>
      </fieldsUsage>
    </cacheHierarchy>
    <cacheHierarchy uniqueName="[Measures].[Profit Margin]" caption="Profit Margin" measure="1" displayFolder="" measureGroup="Raw Data" count="0" oneField="1">
      <fieldsUsage count="1">
        <fieldUsage x="0"/>
      </fieldsUsage>
    </cacheHierarchy>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403009259" createdVersion="5" refreshedVersion="8" minRefreshableVersion="3" recordCount="0" supportSubquery="1" supportAdvancedDrill="1" xr:uid="{82291FC5-7EBE-4CC6-8066-315125B2F16C}">
  <cacheSource type="external" connectionId="6"/>
  <cacheFields count="4">
    <cacheField name="[Customer].[City].[City]" caption="City" numFmtId="0" hierarchy="3" level="1">
      <sharedItems containsSemiMixedTypes="0" containsNonDate="0" containsString="0"/>
    </cacheField>
    <cacheField name="[Customer].[Customer Type].[Customer Type]" caption="Customer Type" numFmtId="0" hierarchy="2" level="1">
      <sharedItems count="4">
        <s v="Consumer"/>
        <s v="Corporate"/>
        <s v="Home Office"/>
        <s v="Small Business"/>
      </sharedItems>
    </cacheField>
    <cacheField name="[Measures].[Total Sales]" caption="Total Sales" numFmtId="0" hierarchy="38" level="32767"/>
    <cacheField name="[Raw Data].[Order Date (Month)].[Order Date (Month)]" caption="Order Date (Month)" numFmtId="0" hierarchy="34"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3"/>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oneField="1">
      <fieldsUsage count="1">
        <fieldUsage x="2"/>
      </fieldsUsage>
    </cacheHierarchy>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404398145" createdVersion="5" refreshedVersion="8" minRefreshableVersion="3" recordCount="0" supportSubquery="1" supportAdvancedDrill="1" xr:uid="{68E1C3E4-0F11-476C-AFFB-FD5F5D8FF181}">
  <cacheSource type="external" connectionId="6"/>
  <cacheFields count="5">
    <cacheField name="[Customer].[City].[City]" caption="City" numFmtId="0" hierarchy="3" level="1">
      <sharedItems containsSemiMixedTypes="0" containsNonDate="0" containsString="0"/>
    </cacheField>
    <cacheField name="[Measures].[Total Sales]" caption="Total Sales" numFmtId="0" hierarchy="38" level="32767"/>
    <cacheField name="[Product].[Product Name].[Product Name]" caption="Product Name" numFmtId="0" hierarchy="14" level="1">
      <sharedItems count="10">
        <s v="3Max Polarizing Task Lamp with Clamp Arm, Light Gray"/>
        <s v="Adesso Programmable 142-Key Keyboard"/>
        <s v="Cando PC940 Copier"/>
        <s v="Deluxe Rollaway Locking File with Drawer"/>
        <s v="Economy Rollaway Files"/>
        <s v="Emerson LQ-870 Dot Matrix Printer"/>
        <s v="Emerson Stylus 1520 Color Inkjet Printer"/>
        <s v="HFX LaserJet 3310 Copier"/>
        <s v="Multimedia Mailers"/>
        <s v="UGen Ultra Professional Cordless Optical Suite"/>
      </sharedItems>
    </cacheField>
    <cacheField name="[Customer].[Customer Type].[Customer Type]" caption="Customer Type" numFmtId="0" hierarchy="2" level="1">
      <sharedItems containsSemiMixedTypes="0" containsNonDate="0" containsString="0"/>
    </cacheField>
    <cacheField name="[Raw Data].[Order Date (Month)].[Order Date (Month)]" caption="Order Date (Month)" numFmtId="0" hierarchy="34"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2" memberValueDatatype="130" unbalanced="0">
      <fieldsUsage count="2">
        <fieldUsage x="-1"/>
        <fieldUsage x="2"/>
      </fieldsUsage>
    </cacheHierarchy>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4"/>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oneField="1">
      <fieldsUsage count="1">
        <fieldUsage x="1"/>
      </fieldsUsage>
    </cacheHierarchy>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406365738" createdVersion="5" refreshedVersion="8" minRefreshableVersion="3" recordCount="0" supportSubquery="1" supportAdvancedDrill="1" xr:uid="{44BAF9AC-2906-4ED3-818B-5C9A4778EDEC}">
  <cacheSource type="external" connectionId="6"/>
  <cacheFields count="5">
    <cacheField name="[Customer].[City].[City]" caption="City" numFmtId="0" hierarchy="3" level="1">
      <sharedItems containsSemiMixedTypes="0" containsNonDate="0" containsString="0"/>
    </cacheField>
    <cacheField name="[Measures].[Total Sales]" caption="Total Sales" numFmtId="0" hierarchy="38" level="32767"/>
    <cacheField name="[Employee].[Full Name].[Full Name]" caption="Full Name" numFmtId="0" hierarchy="12" level="1">
      <sharedItems count="14">
        <s v="Bagiya Sihombing"/>
        <s v="Cinthia Gunawan"/>
        <s v="Clara Prasetyo"/>
        <s v="Darmanto Laksita"/>
        <s v="Gaduh Pratama"/>
        <s v="Kenari Rajasa"/>
        <s v="Laras Nuraini"/>
        <s v="Nabila Prakasa"/>
        <s v="Ophelia Mustofa"/>
        <s v="Paiman Firgantoro"/>
        <s v="Puti Nadine Prakasa"/>
        <s v="Sari Winarno"/>
        <s v="Sutan Tirtayasa Wasita"/>
        <s v="Violet Mentari"/>
      </sharedItems>
    </cacheField>
    <cacheField name="[Customer].[Customer Type].[Customer Type]" caption="Customer Type" numFmtId="0" hierarchy="2" level="1">
      <sharedItems containsSemiMixedTypes="0" containsNonDate="0" containsString="0"/>
    </cacheField>
    <cacheField name="[Raw Data].[Order Date (Month)].[Order Date (Month)]" caption="Order Date (Month)" numFmtId="0" hierarchy="34" level="1">
      <sharedItems containsSemiMixedTypes="0" containsNonDate="0" containsString="0"/>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2" memberValueDatatype="130" unbalanced="0">
      <fieldsUsage count="2">
        <fieldUsage x="-1"/>
        <fieldUsage x="2"/>
      </fieldsUsage>
    </cacheHierarchy>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4"/>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oneField="1">
      <fieldsUsage count="1">
        <fieldUsage x="1"/>
      </fieldsUsage>
    </cacheHierarchy>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7407986109" createdVersion="5" refreshedVersion="8" minRefreshableVersion="3" recordCount="0" supportSubquery="1" supportAdvancedDrill="1" xr:uid="{D99E40A7-E0B9-42D3-B322-0500CF861D35}">
  <cacheSource type="external" connectionId="6"/>
  <cacheFields count="5">
    <cacheField name="[Customer].[City].[City]" caption="City" numFmtId="0" hierarchy="3" level="1">
      <sharedItems containsSemiMixedTypes="0" containsNonDate="0" containsString="0"/>
    </cacheField>
    <cacheField name="[Customer].[Customer Type].[Customer Type]" caption="Customer Type" numFmtId="0" hierarchy="2" level="1">
      <sharedItems count="4">
        <s v="Consumer"/>
        <s v="Corporate"/>
        <s v="Home Office"/>
        <s v="Small Business"/>
      </sharedItems>
    </cacheField>
    <cacheField name="[Measures].[Total Sales]" caption="Total Sales" numFmtId="0" hierarchy="38" level="32767"/>
    <cacheField name="[Raw Data].[Order Date (Month)].[Order Date (Month)]" caption="Order Date (Month)" numFmtId="0" hierarchy="34" level="1">
      <sharedItems containsSemiMixedTypes="0" containsNonDate="0" containsString="0"/>
    </cacheField>
    <cacheField name="[Product].[Product Category].[Product Category]" caption="Product Category" numFmtId="0" hierarchy="15" level="1">
      <sharedItems count="3">
        <s v="Furniture"/>
        <s v="Office Supplies"/>
        <s v="Technology"/>
      </sharedItems>
    </cacheField>
  </cacheFields>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2" memberValueDatatype="130" unbalanced="0">
      <fieldsUsage count="2">
        <fieldUsage x="-1"/>
        <fieldUsage x="4"/>
      </fieldsUsage>
    </cacheHierarchy>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fieldsUsage count="2">
        <fieldUsage x="-1"/>
        <fieldUsage x="3"/>
      </fieldsUsage>
    </cacheHierarchy>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oneField="1">
      <fieldsUsage count="1">
        <fieldUsage x="2"/>
      </fieldsUsage>
    </cacheHierarchy>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dimensions count="6">
    <dimension name="Customer" uniqueName="[Customer]" caption="Customer"/>
    <dimension name="Employee" uniqueName="[Employee]" caption="Employee"/>
    <dimension measure="1" name="Measures" uniqueName="[Measures]" caption="Measures"/>
    <dimension name="Product" uniqueName="[Product]" caption="Product"/>
    <dimension name="Raw Data" uniqueName="[Raw Data]" caption="Raw Data"/>
    <dimension name="Ship Mode" uniqueName="[Ship Mode]" caption="Ship Mode"/>
  </dimensions>
  <measureGroups count="5">
    <measureGroup name="Customer" caption="Customer"/>
    <measureGroup name="Employee" caption="Employee"/>
    <measureGroup name="Product" caption="Product"/>
    <measureGroup name="Raw Data" caption="Raw Data"/>
    <measureGroup name="Ship Mode" caption="Ship Mode"/>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4398958336" createdVersion="3" refreshedVersion="8" minRefreshableVersion="3" recordCount="0" supportSubquery="1" supportAdvancedDrill="1" xr:uid="{67C50C5A-A821-48DE-92BF-8ABD079D2082}">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2"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2" memberValueDatatype="130" unbalanced="0"/>
    <cacheHierarchy uniqueName="[Ship Mode].[Ship Mode]" caption="Ship Mode" attribute="1" defaultMemberUniqueName="[Ship Mode].[Ship Mode].[All]" allUniqueName="[Ship Mode].[Ship Mode].[All]" dimensionUniqueName="[Ship Mode]" displayFolder="" count="2"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extLst>
    <ext xmlns:x14="http://schemas.microsoft.com/office/spreadsheetml/2009/9/main" uri="{725AE2AE-9491-48be-B2B4-4EB974FC3084}">
      <x14:pivotCacheDefinition slicerData="1" pivotCacheId="138726791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91.545481134257" createdVersion="3" refreshedVersion="8" minRefreshableVersion="3" recordCount="0" supportSubquery="1" supportAdvancedDrill="1" xr:uid="{45CC3299-4A3A-4D23-BFDD-39E8DCCEA003}">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Customer Type]" caption="Customer Type" attribute="1" defaultMemberUniqueName="[Customer].[Customer Type].[All]" allUniqueName="[Customer].[Customer Typ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Employee].[Employee ID]" caption="Employee ID" attribute="1" defaultMemberUniqueName="[Employee].[Employee ID].[All]" allUniqueName="[Employee].[Employee ID].[All]" dimensionUniqueName="[Employee]" displayFolder="" count="0" memberValueDatatype="130" unbalanced="0"/>
    <cacheHierarchy uniqueName="[Employee].[First]" caption="First" attribute="1" defaultMemberUniqueName="[Employee].[First].[All]" allUniqueName="[Employee].[First].[All]" dimensionUniqueName="[Employee]" displayFolder="" count="0" memberValueDatatype="130" unbalanced="0"/>
    <cacheHierarchy uniqueName="[Employee].[Last]" caption="Last" attribute="1" defaultMemberUniqueName="[Employee].[Last].[All]" allUniqueName="[Employee].[Last].[All]" dimensionUniqueName="[Employee]" displayFolder="" count="0" memberValueDatatype="130" unbalanced="0"/>
    <cacheHierarchy uniqueName="[Employee].[Date of Birth]" caption="Date of Birth" attribute="1" time="1" defaultMemberUniqueName="[Employee].[Date of Birth].[All]" allUniqueName="[Employee].[Date of Birth].[All]" dimensionUniqueName="[Employee]" displayFolder="" count="0" memberValueDatatype="7"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City]" caption="City" attribute="1" defaultMemberUniqueName="[Employee].[City].[All]" allUniqueName="[Employee].[City].[All]" dimensionUniqueName="[Employee]" displayFolder="" count="0" memberValueDatatype="130" unbalanced="0"/>
    <cacheHierarchy uniqueName="[Employee].[Floor]" caption="Floor" attribute="1" defaultMemberUniqueName="[Employee].[Floor].[All]" allUniqueName="[Employee].[Floor].[All]" dimensionUniqueName="[Employee]" displayFolder="" count="0" memberValueDatatype="5" unbalanced="0"/>
    <cacheHierarchy uniqueName="[Employee].[Call]" caption="Call" attribute="1" defaultMemberUniqueName="[Employee].[Call].[All]" allUniqueName="[Employee].[Call].[All]" dimensionUniqueName="[Employee]" displayFolder="" count="0" memberValueDatatype="5" unbalanced="0"/>
    <cacheHierarchy uniqueName="[Employee].[Full Name]" caption="Full Name" attribute="1" defaultMemberUniqueName="[Employee].[Full Name].[All]" allUniqueName="[Employee].[Full Name].[All]" dimensionUniqueName="[Employee]" displayFolder="" count="0" memberValueDatatype="130" unbalanced="0"/>
    <cacheHierarchy uniqueName="[Employee].[Age]" caption="Age" attribute="1" defaultMemberUniqueName="[Employee].[Age].[All]" allUniqueName="[Employee].[Age].[All]" dimensionUniqueName="[Employee]" displayFolder="" count="0" memberValueDatatype="2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Product Category]" caption="Product Category" attribute="1" defaultMemberUniqueName="[Product].[Product Category].[All]" allUniqueName="[Product].[Product Category].[All]" dimensionUniqueName="[Product]" displayFolder="" count="2"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Retail Price]" caption="Retail Price" attribute="1" defaultMemberUniqueName="[Product].[Retail Price].[All]" allUniqueName="[Product].[Retail Price].[All]" dimensionUniqueName="[Product]" displayFolder="" count="0" memberValueDatatype="5" unbalanced="0"/>
    <cacheHierarchy uniqueName="[Raw Data].[Order No]" caption="Order No" attribute="1" defaultMemberUniqueName="[Raw Data].[Order No].[All]" allUniqueName="[Raw Data].[Order No].[All]" dimensionUniqueName="[Raw Data]" displayFolder="" count="0" memberValueDatatype="130" unbalanced="0"/>
    <cacheHierarchy uniqueName="[Raw Data].[Order Date]" caption="Order Date" attribute="1" time="1" defaultMemberUniqueName="[Raw Data].[Order Date].[All]" allUniqueName="[Raw Data].[Order Date].[All]" dimensionUniqueName="[Raw Data]" displayFolder="" count="0" memberValueDatatype="7" unbalanced="0"/>
    <cacheHierarchy uniqueName="[Raw Data].[Customer Name]" caption="Customer Name" attribute="1" defaultMemberUniqueName="[Raw Data].[Customer Name].[All]" allUniqueName="[Raw Data].[Customer Name].[All]" dimensionUniqueName="[Raw Data]" displayFolder="" count="0" memberValueDatatype="130" unbalanced="0"/>
    <cacheHierarchy uniqueName="[Raw Data].[Account Manager ID]" caption="Account Manager ID" attribute="1" defaultMemberUniqueName="[Raw Data].[Account Manager ID].[All]" allUniqueName="[Raw Data].[Account Manager ID].[All]" dimensionUniqueName="[Raw Data]" displayFolder="" count="0" memberValueDatatype="130" unbalanced="0"/>
    <cacheHierarchy uniqueName="[Raw Data].[Order Priority]" caption="Order Priority" attribute="1" defaultMemberUniqueName="[Raw Data].[Order Priority].[All]" allUniqueName="[Raw Data].[Order Priority].[All]" dimensionUniqueName="[Raw Data]" displayFolder="" count="0" memberValueDatatype="130" unbalanced="0"/>
    <cacheHierarchy uniqueName="[Raw Data].[Product Name]" caption="Product Name" attribute="1" defaultMemberUniqueName="[Raw Data].[Product Name].[All]" allUniqueName="[Raw Data].[Product Name].[All]" dimensionUniqueName="[Raw Data]" displayFolder="" count="0" memberValueDatatype="130" unbalanced="0"/>
    <cacheHierarchy uniqueName="[Raw Data].[Product Container]" caption="Product Container" attribute="1" defaultMemberUniqueName="[Raw Data].[Product Container].[All]" allUniqueName="[Raw Data].[Product Container].[All]" dimensionUniqueName="[Raw Data]" displayFolder="" count="0" memberValueDatatype="130" unbalanced="0"/>
    <cacheHierarchy uniqueName="[Raw Data].[Ship Mode]" caption="Ship Mode" attribute="1" defaultMemberUniqueName="[Raw Data].[Ship Mode].[All]" allUniqueName="[Raw Data].[Ship Mode].[All]" dimensionUniqueName="[Raw Data]" displayFolder="" count="0" memberValueDatatype="130" unbalanced="0"/>
    <cacheHierarchy uniqueName="[Raw Data].[Ship Date]" caption="Ship Date" attribute="1" time="1" defaultMemberUniqueName="[Raw Data].[Ship Date].[All]" allUniqueName="[Raw Data].[Ship Date].[All]" dimensionUniqueName="[Raw Data]" displayFolder="" count="0" memberValueDatatype="7" unbalanced="0"/>
    <cacheHierarchy uniqueName="[Raw Data].[Order Quantity]" caption="Order Quantity" attribute="1" defaultMemberUniqueName="[Raw Data].[Order Quantity].[All]" allUniqueName="[Raw Data].[Order Quantity].[All]" dimensionUniqueName="[Raw Data]" displayFolder="" count="0" memberValueDatatype="5" unbalanced="0"/>
    <cacheHierarchy uniqueName="[Raw Data].[Discount %]" caption="Discount %" attribute="1" defaultMemberUniqueName="[Raw Data].[Discount %].[All]" allUniqueName="[Raw Data].[Discount %].[All]" dimensionUniqueName="[Raw Data]" displayFolder="" count="0" memberValueDatatype="5" unbalanced="0"/>
    <cacheHierarchy uniqueName="[Raw Data].[Gross Sales]" caption="Gross Sales" attribute="1" defaultMemberUniqueName="[Raw Data].[Gross Sales].[All]" allUniqueName="[Raw Data].[Gross Sales].[All]" dimensionUniqueName="[Raw Data]" displayFolder="" count="0" memberValueDatatype="5" unbalanced="0"/>
    <cacheHierarchy uniqueName="[Raw Data].[COGs]" caption="COGs" attribute="1" defaultMemberUniqueName="[Raw Data].[COGs].[All]" allUniqueName="[Raw Data].[COGs].[All]" dimensionUniqueName="[Raw Data]" displayFolder="" count="0" memberValueDatatype="5" unbalanced="0"/>
    <cacheHierarchy uniqueName="[Raw Data].[Margin]" caption="Margin" attribute="1" defaultMemberUniqueName="[Raw Data].[Margin].[All]" allUniqueName="[Raw Data].[Margin].[All]" dimensionUniqueName="[Raw Data]" displayFolder="" count="0" memberValueDatatype="5" unbalanced="0"/>
    <cacheHierarchy uniqueName="[Raw Data].[Order Date (Year)]" caption="Order Date (Year)" attribute="1" defaultMemberUniqueName="[Raw Data].[Order Date (Year)].[All]" allUniqueName="[Raw Data].[Order Date (Year)].[All]" dimensionUniqueName="[Raw Data]" displayFolder="" count="0" memberValueDatatype="130" unbalanced="0"/>
    <cacheHierarchy uniqueName="[Raw Data].[Order Date (Quarter)]" caption="Order Date (Quarter)" attribute="1" defaultMemberUniqueName="[Raw Data].[Order Date (Quarter)].[All]" allUniqueName="[Raw Data].[Order Date (Quarter)].[All]" dimensionUniqueName="[Raw Data]" displayFolder="" count="0" memberValueDatatype="130" unbalanced="0"/>
    <cacheHierarchy uniqueName="[Raw Data].[Order Date (Month)]" caption="Order Date (Month)" attribute="1" defaultMemberUniqueName="[Raw Data].[Order Date (Month)].[All]" allUniqueName="[Raw Data].[Order Date (Month)].[All]" dimensionUniqueName="[Raw Data]" displayFolder="" count="0" memberValueDatatype="130" unbalanced="0"/>
    <cacheHierarchy uniqueName="[Ship Mode].[Ship Mode]" caption="Ship Mode" attribute="1" defaultMemberUniqueName="[Ship Mode].[Ship Mode].[All]" allUniqueName="[Ship Mode].[Ship Mode].[All]" dimensionUniqueName="[Ship Mode]" displayFolder="" count="0" memberValueDatatype="130" unbalanced="0"/>
    <cacheHierarchy uniqueName="[Ship Mode].[Cost]" caption="Cost" attribute="1" defaultMemberUniqueName="[Ship Mode].[Cost].[All]" allUniqueName="[Ship Mode].[Cost].[All]" dimensionUniqueName="[Ship Mode]" displayFolder="" count="0" memberValueDatatype="5" unbalanced="0"/>
    <cacheHierarchy uniqueName="[Raw Data].[Order Date (Month Index)]" caption="Order Date (Month Index)" attribute="1" defaultMemberUniqueName="[Raw Data].[Order Date (Month Index)].[All]" allUniqueName="[Raw Data].[Order Date (Month Index)].[All]" dimensionUniqueName="[Raw Data]" displayFolder="" count="0" memberValueDatatype="20" unbalanced="0" hidden="1"/>
    <cacheHierarchy uniqueName="[Measures].[Total Sales]" caption="Total Sales" measure="1" displayFolder="" measureGroup="Raw Data" count="0"/>
    <cacheHierarchy uniqueName="[Measures].[Total Profit]" caption="Total Profit" measure="1" displayFolder="" measureGroup="Raw Data" count="0"/>
    <cacheHierarchy uniqueName="[Measures].[Profit Margin]" caption="Profit Margin" measure="1" displayFolder="" measureGroup="Raw Data" count="0"/>
    <cacheHierarchy uniqueName="[Measures].[Average Order Value (AOV)]" caption="Average Order Value (AOV)" measure="1" displayFolder="" measureGroup="Raw Data" count="0"/>
    <cacheHierarchy uniqueName="[Measures].[__XL_Count Customer]" caption="__XL_Count Customer" measure="1" displayFolder="" measureGroup="Customer" count="0" hidden="1"/>
    <cacheHierarchy uniqueName="[Measures].[__XL_Count Employee]" caption="__XL_Count Employee" measure="1" displayFolder="" measureGroup="Employee" count="0" hidden="1"/>
    <cacheHierarchy uniqueName="[Measures].[__XL_Count Product]" caption="__XL_Count Product" measure="1" displayFolder="" measureGroup="Product" count="0" hidden="1"/>
    <cacheHierarchy uniqueName="[Measures].[__XL_Count Ship Mode]" caption="__XL_Count Ship Mode" measure="1" displayFolder="" measureGroup="Ship Mode" count="0" hidden="1"/>
    <cacheHierarchy uniqueName="[Measures].[__XL_Count Raw Data]" caption="__XL_Count Raw Data" measure="1" displayFolder="" measureGroup="Raw Data" count="0" hidden="1"/>
    <cacheHierarchy uniqueName="[Measures].[__No measures defined]" caption="__No measures defined" measure="1" displayFolder="" count="0" hidden="1"/>
    <cacheHierarchy uniqueName="[Measures].[_Profit Margin Goal]" caption="_Profit Margin Goal" measure="1" displayFolder="" measureGroup="Raw Data" count="0" hidden="1"/>
    <cacheHierarchy uniqueName="[Measures].[_Profit Margin Status]" caption="_Profit Margin Status" measure="1" iconSet="10" displayFolder="" measureGroup="Raw Data" count="0" hidden="1"/>
    <cacheHierarchy uniqueName="[Measures].[Sum of Order Quantity]" caption="Sum of Order Quantity" measure="1" displayFolder="" measureGroup="Raw Data" count="0" hidden="1">
      <extLst>
        <ext xmlns:x15="http://schemas.microsoft.com/office/spreadsheetml/2010/11/main" uri="{B97F6D7D-B522-45F9-BDA1-12C45D357490}">
          <x15:cacheHierarchy aggregatedColumn="27"/>
        </ext>
      </extLst>
    </cacheHierarchy>
    <cacheHierarchy uniqueName="[Measures].[Count of Customer Name]" caption="Count of Customer Name" measure="1" displayFolder="" measureGroup="Customer" count="0" hidden="1">
      <extLst>
        <ext xmlns:x15="http://schemas.microsoft.com/office/spreadsheetml/2010/11/main" uri="{B97F6D7D-B522-45F9-BDA1-12C45D357490}">
          <x15:cacheHierarchy aggregatedColumn="0"/>
        </ext>
      </extLst>
    </cacheHierarchy>
  </cacheHierarchies>
  <kpis count="1">
    <kpi uniqueName="Profit Margin" caption="Profit Margin" displayFolder="" measureGroup="Raw Data" parent="" value="[Measures].[Profit Margin]" goal="[Measures].[_Profit Margin Goal]" status="[Measures].[_Profit Margin Status]" trend="" weight=""/>
  </kpis>
  <extLst>
    <ext xmlns:x14="http://schemas.microsoft.com/office/spreadsheetml/2009/9/main" uri="{725AE2AE-9491-48be-B2B4-4EB974FC3084}">
      <x14:pivotCacheDefinition slicerData="1" pivotCacheId="17246477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1969AD-C26F-4C2B-9D29-8BAFD820455C}" name="PivotTable1" cacheId="1" applyNumberFormats="0" applyBorderFormats="0" applyFontFormats="0" applyPatternFormats="0" applyAlignmentFormats="0" applyWidthHeightFormats="1" dataCaption="Values" tag="cc44b51e-a07c-4c49-959e-9f27732e8da6" updatedVersion="8" minRefreshableVersion="3" useAutoFormatting="1" subtotalHiddenItems="1" itemPrintTitles="1" createdVersion="5" indent="0" compact="0" compactData="0" multipleFieldFilters="0">
  <location ref="A1:C5" firstHeaderRow="0" firstDataRow="1" firstDataCol="1"/>
  <pivotFields count="5">
    <pivotField axis="axisRow" compact="0" allDrilled="1" outline="0" subtotalTop="0" showAll="0" dataSourceSort="1" defaultSubtotal="0" defaultAttributeDrillState="1">
      <items count="3">
        <item s="1" x="0"/>
        <item s="1" x="1"/>
        <item s="1" x="2"/>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2" subtotal="count" baseField="0" baseItem="0"/>
    <dataField fld="1" subtotal="count" baseField="0" baseItem="0"/>
  </dataFields>
  <pivotHierarchies count="53">
    <pivotHierarchy dragToData="1"/>
    <pivotHierarchy dragToData="1"/>
    <pivotHierarchy multipleItemSelectionAllowed="1" dragToData="1">
      <members count="4" level="1">
        <member name="[Customer].[Customer Type].&amp;[Consumer]"/>
        <member name="[Customer].[Customer Type].&amp;[Corporate]"/>
        <member name="[Customer].[Customer Type].&amp;[Home Office]"/>
        <member name="[Customer].[Customer Type].&amp;[Small Business]"/>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C3AF5-69A1-4D5F-B433-5AB1A29804DF}" name="PivotTable8" cacheId="5" applyNumberFormats="0" applyBorderFormats="0" applyFontFormats="0" applyPatternFormats="0" applyAlignmentFormats="0" applyWidthHeightFormats="1" dataCaption="Values" tag="76458f9a-7caf-4331-995b-17dc96acbdfe" updatedVersion="8" minRefreshableVersion="3" useAutoFormatting="1" subtotalHiddenItems="1" rowGrandTotals="0" colGrandTotals="0" itemPrintTitles="1" createdVersion="5" indent="0" compact="0" compactData="0" multipleFieldFilters="0" chartFormat="14">
  <location ref="A49:B63" firstHeaderRow="1" firstDataRow="1" firstDataCol="1"/>
  <pivotFields count="5">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14">
        <item x="0"/>
        <item x="1"/>
        <item x="2"/>
        <item x="3"/>
        <item x="4"/>
        <item x="5"/>
        <item x="6"/>
        <item x="7"/>
        <item x="8"/>
        <item x="9"/>
        <item x="10"/>
        <item x="11"/>
        <item x="12"/>
        <item x="1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14">
    <i>
      <x/>
    </i>
    <i>
      <x v="1"/>
    </i>
    <i>
      <x v="2"/>
    </i>
    <i>
      <x v="3"/>
    </i>
    <i>
      <x v="4"/>
    </i>
    <i>
      <x v="5"/>
    </i>
    <i>
      <x v="6"/>
    </i>
    <i>
      <x v="7"/>
    </i>
    <i>
      <x v="8"/>
    </i>
    <i>
      <x v="9"/>
    </i>
    <i>
      <x v="10"/>
    </i>
    <i>
      <x v="11"/>
    </i>
    <i>
      <x v="12"/>
    </i>
    <i>
      <x v="13"/>
    </i>
  </rowItems>
  <colItems count="1">
    <i/>
  </colItems>
  <dataFields count="1">
    <dataField fld="1" subtotal="count" baseField="0" baseItem="0"/>
  </dataFields>
  <chartFormats count="4">
    <chartFormat chart="3"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2" count="1" selected="0">
            <x v="4"/>
          </reference>
        </references>
      </pivotArea>
    </chartFormat>
  </chartFormats>
  <pivotHierarchies count="53">
    <pivotHierarchy dragToData="1"/>
    <pivotHierarchy dragToData="1"/>
    <pivotHierarchy multipleItemSelectionAllowed="1" dragToData="1">
      <members count="4" level="1">
        <member name="[Customer].[Customer Type].&amp;[Consumer]"/>
        <member name="[Customer].[Customer Type].&amp;[Corporate]"/>
        <member name="[Customer].[Customer Type].&amp;[Home Office]"/>
        <member name="[Customer].[Customer Type].&amp;[Small Business]"/>
      </members>
    </pivotHierarchy>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activeTabTopLevelEntity name="[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1F18DA-ECDA-4B5C-BE8C-55F0654A79FA}" name="PivotTable3" cacheId="6" applyNumberFormats="0" applyBorderFormats="0" applyFontFormats="0" applyPatternFormats="0" applyAlignmentFormats="0" applyWidthHeightFormats="1" dataCaption="Values" tag="3617243d-9b8d-47bd-80c4-79e10310965b" updatedVersion="8" minRefreshableVersion="3" useAutoFormatting="1" subtotalHiddenItems="1" rowGrandTotals="0" colGrandTotals="0" itemPrintTitles="1" createdVersion="5" indent="0" compact="0" compactData="0" multipleFieldFilters="0" chartFormat="7">
  <location ref="A66:B69" firstHeaderRow="1" firstDataRow="1" firstDataCol="1"/>
  <pivotFields count="5">
    <pivotField compact="0" allDrilled="1" outline="0" subtotalTop="0" showAll="0" dataSourceSort="1" defaultSubtotal="0" defaultAttributeDrillState="1"/>
    <pivotField compact="0" allDrilled="1" outline="0" subtotalTop="0" showAll="0" defaultSubtotal="0" defaultAttributeDrillState="1">
      <items count="4">
        <item s="1" x="0"/>
        <item s="1" x="1"/>
        <item s="1" x="2"/>
        <item s="1" x="3"/>
      </items>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3">
        <item x="0"/>
        <item x="1"/>
        <item x="2"/>
      </items>
    </pivotField>
  </pivotFields>
  <rowFields count="1">
    <field x="4"/>
  </rowFields>
  <rowItems count="3">
    <i>
      <x/>
    </i>
    <i>
      <x v="1"/>
    </i>
    <i>
      <x v="2"/>
    </i>
  </rowItems>
  <colItems count="1">
    <i/>
  </colItems>
  <dataFields count="1">
    <dataField fld="2" subtotal="count" baseField="0" baseItem="0"/>
  </dataFields>
  <chartFormats count="1">
    <chartFormat chart="3" format="6" series="1">
      <pivotArea type="data" outline="0" fieldPosition="0">
        <references count="1">
          <reference field="4294967294" count="1" selected="0">
            <x v="0"/>
          </reference>
        </references>
      </pivotArea>
    </chartFormat>
  </chartFormats>
  <pivotHierarchies count="53">
    <pivotHierarchy dragToData="1"/>
    <pivotHierarchy dragToData="1"/>
    <pivotHierarchy multipleItemSelectionAllowed="1" dragToData="1"/>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780838-6F95-4497-83BD-4CDDB5A1C496}" name="PivotTable6" cacheId="3" applyNumberFormats="0" applyBorderFormats="0" applyFontFormats="0" applyPatternFormats="0" applyAlignmentFormats="0" applyWidthHeightFormats="1" dataCaption="Values" tag="6a15cc90-5a15-43f7-b575-8ef5f4ce2408" updatedVersion="8" minRefreshableVersion="3" useAutoFormatting="1" subtotalHiddenItems="1" rowGrandTotals="0" colGrandTotals="0" itemPrintTitles="1" createdVersion="5" indent="0" compact="0" compactData="0" multipleFieldFilters="0" chartFormat="7">
  <location ref="A30:B34" firstHeaderRow="1" firstDataRow="1" firstDataCol="1"/>
  <pivotFields count="4">
    <pivotField compact="0" allDrilled="1" outline="0" subtotalTop="0" showAll="0" dataSourceSort="1" defaultSubtotal="0" defaultAttributeDrillState="1"/>
    <pivotField axis="axisRow" compact="0" allDrilled="1" outline="0" subtotalTop="0" showAll="0" defaultSubtotal="0" defaultAttributeDrillState="1">
      <items count="4">
        <item s="1" x="0"/>
        <item s="1" x="1"/>
        <item s="1" x="2"/>
        <item s="1"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fld="2"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53">
    <pivotHierarchy dragToData="1"/>
    <pivotHierarchy dragToData="1"/>
    <pivotHierarchy multipleItemSelectionAllowed="1" dragToData="1"/>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E89628-C268-4017-B1A3-6FA21ECC8549}" name="PivotTable7" cacheId="4" applyNumberFormats="0" applyBorderFormats="0" applyFontFormats="0" applyPatternFormats="0" applyAlignmentFormats="0" applyWidthHeightFormats="1" dataCaption="Values" tag="c1e4e2b0-1165-4270-943e-b70bcbcdeb30" updatedVersion="8" minRefreshableVersion="3" useAutoFormatting="1" subtotalHiddenItems="1" rowGrandTotals="0" colGrandTotals="0" itemPrintTitles="1" createdVersion="5" indent="0" compact="0" compactData="0" multipleFieldFilters="0" chartFormat="12">
  <location ref="A36:B46" firstHeaderRow="1" firstDataRow="1" firstDataCol="1"/>
  <pivotFields count="5">
    <pivotField compact="0" allDrilled="1" outline="0" subtotalTop="0" showAll="0" dataSourceSort="1" defaultSubtotal="0" defaultAttributeDrillState="1"/>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10">
    <i>
      <x/>
    </i>
    <i>
      <x v="1"/>
    </i>
    <i>
      <x v="2"/>
    </i>
    <i>
      <x v="3"/>
    </i>
    <i>
      <x v="4"/>
    </i>
    <i>
      <x v="5"/>
    </i>
    <i>
      <x v="6"/>
    </i>
    <i>
      <x v="7"/>
    </i>
    <i>
      <x v="8"/>
    </i>
    <i>
      <x v="9"/>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s>
  <pivotHierarchies count="53">
    <pivotHierarchy dragToData="1"/>
    <pivotHierarchy dragToData="1"/>
    <pivotHierarchy multipleItemSelectionAllowed="1" dragToData="1">
      <members count="4" level="1">
        <member name="[Customer].[Customer Type].&amp;[Consumer]"/>
        <member name="[Customer].[Customer Type].&amp;[Corporate]"/>
        <member name="[Customer].[Customer Type].&amp;[Home Office]"/>
        <member name="[Customer].[Customer Type].&amp;[Small Business]"/>
      </members>
    </pivotHierarchy>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2" type="count" id="1" iMeasureHier="38">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DF0094-BED5-488E-8635-8FC8C0ED77A1}" name="PivotTable4" cacheId="2" applyNumberFormats="0" applyBorderFormats="0" applyFontFormats="0" applyPatternFormats="0" applyAlignmentFormats="0" applyWidthHeightFormats="1" dataCaption="Values" tag="a9ea1958-f858-4a59-8f57-5e8945e8ee39" updatedVersion="8" minRefreshableVersion="3" useAutoFormatting="1" subtotalHiddenItems="1" rowGrandTotals="0" colGrandTotals="0" itemPrintTitles="1" createdVersion="5" indent="0" compact="0" compactData="0" multipleFieldFilters="0" chartFormat="11">
  <location ref="A15:C27" firstHeaderRow="0" firstDataRow="1" firstDataCol="1"/>
  <pivotFields count="5">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2">
        <item s="1" x="0"/>
        <item s="1" x="1"/>
        <item s="1" x="2"/>
        <item s="1" x="3"/>
        <item s="1" x="4"/>
        <item s="1" x="5"/>
        <item s="1" x="6"/>
        <item s="1" x="7"/>
        <item s="1" x="8"/>
        <item s="1" x="9"/>
        <item s="1" x="10"/>
        <item s="1" x="1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0" subtotal="count" baseField="0" baseItem="0"/>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0"/>
          </reference>
          <reference field="2" count="1" selected="0">
            <x v="8"/>
          </reference>
        </references>
      </pivotArea>
    </chartFormat>
    <chartFormat chart="9" format="7">
      <pivotArea type="data" outline="0" fieldPosition="0">
        <references count="2">
          <reference field="4294967294" count="1" selected="0">
            <x v="0"/>
          </reference>
          <reference field="2" count="1" selected="0">
            <x v="4"/>
          </reference>
        </references>
      </pivotArea>
    </chartFormat>
  </chartFormats>
  <pivotHierarchies count="53">
    <pivotHierarchy dragToData="1"/>
    <pivotHierarchy dragToData="1"/>
    <pivotHierarchy multipleItemSelectionAllowed="1" dragToData="1">
      <members count="4" level="1">
        <member name="[Customer].[Customer Type].&amp;[Consumer]"/>
        <member name="[Customer].[Customer Type].&amp;[Corporate]"/>
        <member name="[Customer].[Customer Type].&amp;[Home Office]"/>
        <member name="[Customer].[Customer Type].&amp;[Small Business]"/>
      </members>
    </pivotHierarchy>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D7D0CC-B950-42A6-A8F8-52DF4C3851D1}" name="PivotTable2" cacheId="0" dataOnRows="1" applyNumberFormats="0" applyBorderFormats="0" applyFontFormats="0" applyPatternFormats="0" applyAlignmentFormats="0" applyWidthHeightFormats="1" dataCaption="Values" tag="213a0afd-faf7-4e40-8842-cf3a97a55bd0" updatedVersion="8" minRefreshableVersion="5" useAutoFormatting="1" subtotalHiddenItems="1" itemPrintTitles="1" createdVersion="5" indent="0" compact="0" compactData="0" multipleFieldFilters="0">
  <location ref="A8:B13" firstHeaderRow="1"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2"/>
  </rowFields>
  <rowItems count="5">
    <i>
      <x/>
    </i>
    <i i="1">
      <x v="1"/>
    </i>
    <i i="2">
      <x v="2"/>
    </i>
    <i i="3">
      <x v="3"/>
    </i>
    <i i="4">
      <x v="4"/>
    </i>
  </rowItems>
  <colItems count="1">
    <i/>
  </colItems>
  <dataFields count="5">
    <dataField fld="2" subtotal="count" baseField="0" baseItem="0"/>
    <dataField fld="1" subtotal="count" baseField="0" baseItem="0"/>
    <dataField name="Sum of Order Quantity" fld="3" baseField="0" baseItem="0"/>
    <dataField fld="0" subtotal="count" baseField="0" baseItem="0"/>
    <dataField fld="4" subtotal="count" baseField="0" baseItem="0" numFmtId="1"/>
  </dataFields>
  <formats count="1">
    <format dxfId="1">
      <pivotArea outline="0" fieldPosition="0">
        <references count="1">
          <reference field="4294967294" count="1" selected="0">
            <x v="4"/>
          </reference>
        </references>
      </pivotArea>
    </format>
  </formats>
  <pivotHierarchies count="53">
    <pivotHierarchy dragToData="1"/>
    <pivotHierarchy dragToData="1"/>
    <pivotHierarchy multipleItemSelectionAllowed="1" dragToData="1">
      <members count="4" level="1">
        <member name="[Customer].[Customer Type].&amp;[Consumer]"/>
        <member name="[Customer].[Customer Type].&amp;[Corporate]"/>
        <member name="[Customer].[Customer Type].&amp;[Home Office]"/>
        <member name="[Customer].[Customer Type].&amp;[Small Business]"/>
      </members>
    </pivotHierarchy>
    <pivotHierarchy multipleItemSelectionAllowed="1" dragToData="1">
      <members count="3" level="1">
        <member name="[Customer].[City].&amp;[Bandung]"/>
        <member name="[Customer].[City].&amp;[Jakarta]"/>
        <member name="[Customer].[City].&amp;[Surabay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2" level="1">
        <member name="[Raw Data].[Order Date (Month)].&amp;[Apr]"/>
        <member name="[Raw Data].[Order Date (Month)].&amp;[Aug]"/>
        <member name="[Raw Data].[Order Date (Month)].&amp;[Dec]"/>
        <member name="[Raw Data].[Order Date (Month)].&amp;[Feb]"/>
        <member name="[Raw Data].[Order Date (Month)].&amp;[Jan]"/>
        <member name="[Raw Data].[Order Date (Month)].&amp;[Jul]"/>
        <member name="[Raw Data].[Order Date (Month)].&amp;[Jun]"/>
        <member name="[Raw Data].[Order Date (Month)].&amp;[Mar]"/>
        <member name="[Raw Data].[Order Date (Month)].&amp;[May]"/>
        <member name="[Raw Data].[Order Date (Month)].&amp;[Nov]"/>
        <member name="[Raw Data].[Order Date (Month)].&amp;[Oct]"/>
        <member name="[Raw Data].[Order Date (Month)].&amp;[Sep]"/>
      </members>
    </pivotHierarchy>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7" type="dateBetween" evalOrder="-1" id="2" name="[Raw Data].[Order Date]">
      <autoFilter ref="A1">
        <filterColumn colId="0">
          <customFilters and="1">
            <customFilter operator="greaterThanOrEqual" val="43344"/>
            <customFilter operator="lessThanOrEqual" val="43434"/>
          </customFilters>
        </filterColumn>
      </autoFilter>
      <extLst>
        <ext xmlns:x15="http://schemas.microsoft.com/office/spreadsheetml/2010/11/main" uri="{0605FD5F-26C8-4aeb-8148-2DB25E43C511}">
          <x15:pivotFilter useWholeDay="1"/>
        </ext>
      </extLst>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w Data]"/>
        <x15:activeTabTopLevelEntity name="[Customer]"/>
        <x15:activeTabTopLevelEntity name="[Ship Mode]"/>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043DFE-0D2A-4834-A51D-703AAE0CA605}" sourceName="[Customer].[City]">
  <pivotTables>
    <pivotTable tabId="1" name="PivotTable1"/>
    <pivotTable tabId="1" name="PivotTable4"/>
    <pivotTable tabId="1" name="PivotTable2"/>
    <pivotTable tabId="1" name="PivotTable6"/>
    <pivotTable tabId="1" name="PivotTable7"/>
    <pivotTable tabId="1" name="PivotTable8"/>
    <pivotTable tabId="1" name="PivotTable3"/>
  </pivotTables>
  <data>
    <olap pivotCacheId="1387267911">
      <levels count="2">
        <level uniqueName="[Customer].[City].[(All)]" sourceCaption="(All)" count="0"/>
        <level uniqueName="[Customer].[City].[City]" sourceCaption="City" count="4">
          <ranges>
            <range startItem="0">
              <i n="[Customer].[City].&amp;[Bandung]" c="Bandung"/>
              <i n="[Customer].[City].&amp;[Jakarta]" c="Jakarta"/>
              <i n="[Customer].[City].&amp;[Surabaya]" c="Surabaya"/>
              <i n="[Customer].[City].&amp;" c="(blank)" nd="1"/>
            </range>
          </ranges>
        </level>
      </levels>
      <selections count="3">
        <selection n="[Customer].[City].&amp;[Bandung]"/>
        <selection n="[Customer].[City].&amp;[Jakarta]"/>
        <selection n="[Customer].[City].&amp;[Surabaya]"/>
      </selections>
    </olap>
  </data>
  <extLst>
    <x:ext xmlns:x15="http://schemas.microsoft.com/office/spreadsheetml/2010/11/main" uri="{470722E0-AACD-4C17-9CDC-17EF765DBC7E}">
      <x15:slicerCacheHideItemsWithNoData count="1">
        <x15:slicerCacheOlapLevelName uniqueName="[Customer].[City].[City]"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33E8C32-EA57-42E6-A1AD-9FA9801B79D2}" sourceName="[Ship Mode].[Ship Mode]">
  <pivotTables>
    <pivotTable tabId="1" name="PivotTable8"/>
    <pivotTable tabId="1" name="PivotTable1"/>
    <pivotTable tabId="1" name="PivotTable2"/>
    <pivotTable tabId="1" name="PivotTable4"/>
    <pivotTable tabId="1" name="PivotTable6"/>
    <pivotTable tabId="1" name="PivotTable7"/>
    <pivotTable tabId="1" name="PivotTable3"/>
  </pivotTables>
  <data>
    <olap pivotCacheId="1387267911">
      <levels count="2">
        <level uniqueName="[Ship Mode].[Ship Mode].[(All)]" sourceCaption="(All)" count="0"/>
        <level uniqueName="[Ship Mode].[Ship Mode].[Ship Mode]" sourceCaption="Ship Mode" count="4">
          <ranges>
            <range startItem="0">
              <i n="[Ship Mode].[Ship Mode].&amp;[Delivery Truck]" c="Delivery Truck"/>
              <i n="[Ship Mode].[Ship Mode].&amp;[Express Air]" c="Express Air"/>
              <i n="[Ship Mode].[Ship Mode].&amp;[Regular Air]" c="Regular Air"/>
              <i n="[Ship Mode].[Ship Mode].&amp;" c="(blank)" nd="1"/>
            </range>
          </ranges>
        </level>
      </levels>
      <selections count="1">
        <selection n="[Ship Mode].[Ship Mode].[All]"/>
      </selections>
    </olap>
  </data>
  <extLst>
    <x:ext xmlns:x15="http://schemas.microsoft.com/office/spreadsheetml/2010/11/main" uri="{470722E0-AACD-4C17-9CDC-17EF765DBC7E}">
      <x15:slicerCacheHideItemsWithNoData count="1">
        <x15:slicerCacheOlapLevelName uniqueName="[Ship Mode].[Ship Mode].[Ship Mode]"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E6BC5AD-2C4C-414D-859E-BC6A34C5DA1C}" sourceName="[Customer].[Customer Type]">
  <pivotTables>
    <pivotTable tabId="1" name="PivotTable2"/>
    <pivotTable tabId="1" name="PivotTable1"/>
    <pivotTable tabId="1" name="PivotTable4"/>
    <pivotTable tabId="1" name="PivotTable6"/>
    <pivotTable tabId="1" name="PivotTable7"/>
    <pivotTable tabId="1" name="PivotTable8"/>
    <pivotTable tabId="1" name="PivotTable3"/>
  </pivotTables>
  <data>
    <olap pivotCacheId="1387267911">
      <levels count="2">
        <level uniqueName="[Customer].[Customer Type].[(All)]" sourceCaption="(All)" count="0"/>
        <level uniqueName="[Customer].[Customer Type].[Customer Type]" sourceCaption="Customer Type" count="5">
          <ranges>
            <range startItem="0">
              <i n="[Customer].[Customer Type].&amp;[Consumer]" c="Consumer"/>
              <i n="[Customer].[Customer Type].&amp;[Corporate]" c="Corporate"/>
              <i n="[Customer].[Customer Type].&amp;[Home Office]" c="Home Office"/>
              <i n="[Customer].[Customer Type].&amp;[Small Business]" c="Small Business"/>
              <i n="[Customer].[Customer Type].&amp;" c="(blank)" nd="1"/>
            </range>
          </ranges>
        </level>
      </levels>
      <selections count="4">
        <selection n="[Customer].[Customer Type].&amp;[Consumer]"/>
        <selection n="[Customer].[Customer Type].&amp;[Corporate]"/>
        <selection n="[Customer].[Customer Type].&amp;[Home Office]"/>
        <selection n="[Customer].[Customer Type].&amp;[Small Business]"/>
      </selections>
    </olap>
  </data>
  <extLst>
    <x:ext xmlns:x15="http://schemas.microsoft.com/office/spreadsheetml/2010/11/main" uri="{470722E0-AACD-4C17-9CDC-17EF765DBC7E}">
      <x15:slicerCacheHideItemsWithNoData count="1">
        <x15:slicerCacheOlapLevelName uniqueName="[Customer].[Customer Type].[Customer Type]"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61CCFA97-E70B-45E8-8CBC-8EC279521DD5}" sourceName="[Raw Data].[Product Container]">
  <pivotTables>
    <pivotTable tabId="1" name="PivotTable2"/>
    <pivotTable tabId="1" name="PivotTable1"/>
    <pivotTable tabId="1" name="PivotTable4"/>
    <pivotTable tabId="1" name="PivotTable6"/>
    <pivotTable tabId="1" name="PivotTable7"/>
    <pivotTable tabId="1" name="PivotTable8"/>
    <pivotTable tabId="1" name="PivotTable3"/>
  </pivotTables>
  <data>
    <olap pivotCacheId="1387267911">
      <levels count="2">
        <level uniqueName="[Raw Data].[Product Container].[(All)]" sourceCaption="(All)" count="0"/>
        <level uniqueName="[Raw Data].[Product Container].[Product Container]" sourceCaption="Product Container" count="7">
          <ranges>
            <range startItem="0">
              <i n="[Raw Data].[Product Container].&amp;[Jumbo Drum]" c="Jumbo Drum"/>
              <i n="[Raw Data].[Product Container].&amp;[Large Box]" c="Large Box"/>
              <i n="[Raw Data].[Product Container].&amp;[Medium Box]" c="Medium Box"/>
              <i n="[Raw Data].[Product Container].&amp;[Small Box]" c="Small Box"/>
              <i n="[Raw Data].[Product Container].&amp;[Small Pack]" c="Small Pack"/>
              <i n="[Raw Data].[Product Container].&amp;[Wrap Bag]" c="Wrap Bag"/>
              <i n="[Raw Data].[Product Container].&amp;" c="(blank)" nd="1"/>
            </range>
          </ranges>
        </level>
      </levels>
      <selections count="1">
        <selection n="[Raw Data].[Product Container].[All]"/>
      </selections>
    </olap>
  </data>
  <extLst>
    <x:ext xmlns:x15="http://schemas.microsoft.com/office/spreadsheetml/2010/11/main" uri="{470722E0-AACD-4C17-9CDC-17EF765DBC7E}">
      <x15:slicerCacheHideItemsWithNoData count="1">
        <x15:slicerCacheOlapLevelName uniqueName="[Raw Data].[Product Container].[Product Container]"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59B543A8-3854-4005-8B5D-88BAF4ABDAF5}" sourceName="[Raw Data].[Order Date (Month)]">
  <pivotTables>
    <pivotTable tabId="1" name="PivotTable4"/>
    <pivotTable tabId="1" name="PivotTable1"/>
    <pivotTable tabId="1" name="PivotTable2"/>
    <pivotTable tabId="1" name="PivotTable6"/>
    <pivotTable tabId="1" name="PivotTable7"/>
    <pivotTable tabId="1" name="PivotTable8"/>
    <pivotTable tabId="1" name="PivotTable3"/>
  </pivotTables>
  <data>
    <olap pivotCacheId="1387267911">
      <levels count="2">
        <level uniqueName="[Raw Data].[Order Date (Month)].[(All)]" sourceCaption="(All)" count="0"/>
        <level uniqueName="[Raw Data].[Order Date (Month)].[Order Date (Month)]" sourceCaption="Order Date (Month)" count="13">
          <ranges>
            <range startItem="0">
              <i n="[Raw Data].[Order Date (Month)].&amp;[Jan]" c="Jan"/>
              <i n="[Raw Data].[Order Date (Month)].&amp;[Feb]" c="Feb"/>
              <i n="[Raw Data].[Order Date (Month)].&amp;[Mar]" c="Mar"/>
              <i n="[Raw Data].[Order Date (Month)].&amp;[Apr]" c="Apr"/>
              <i n="[Raw Data].[Order Date (Month)].&amp;[May]" c="May"/>
              <i n="[Raw Data].[Order Date (Month)].&amp;[Jun]" c="Jun"/>
              <i n="[Raw Data].[Order Date (Month)].&amp;[Jul]" c="Jul"/>
              <i n="[Raw Data].[Order Date (Month)].&amp;[Aug]" c="Aug"/>
              <i n="[Raw Data].[Order Date (Month)].&amp;[Sep]" c="Sep"/>
              <i n="[Raw Data].[Order Date (Month)].&amp;[Oct]" c="Oct"/>
              <i n="[Raw Data].[Order Date (Month)].&amp;[Nov]" c="Nov"/>
              <i n="[Raw Data].[Order Date (Month)].&amp;[Dec]" c="Dec"/>
              <i n="[Raw Data].[Order Date (Month)].&amp;[]" c="" nd="1"/>
            </range>
          </ranges>
        </level>
      </levels>
      <selections count="12">
        <selection n="[Raw Data].[Order Date (Month)].&amp;[Apr]"/>
        <selection n="[Raw Data].[Order Date (Month)].&amp;[Aug]"/>
        <selection n="[Raw Data].[Order Date (Month)].&amp;[Dec]"/>
        <selection n="[Raw Data].[Order Date (Month)].&amp;[Feb]"/>
        <selection n="[Raw Data].[Order Date (Month)].&amp;[Jan]"/>
        <selection n="[Raw Data].[Order Date (Month)].&amp;[Jul]"/>
        <selection n="[Raw Data].[Order Date (Month)].&amp;[Jun]"/>
        <selection n="[Raw Data].[Order Date (Month)].&amp;[Mar]"/>
        <selection n="[Raw Data].[Order Date (Month)].&amp;[May]"/>
        <selection n="[Raw Data].[Order Date (Month)].&amp;[Nov]"/>
        <selection n="[Raw Data].[Order Date (Month)].&amp;[Oct]"/>
        <selection n="[Raw Data].[Order Date (Month)].&amp;[Sep]"/>
      </selections>
    </olap>
  </data>
  <extLst>
    <x:ext xmlns:x15="http://schemas.microsoft.com/office/spreadsheetml/2010/11/main" uri="{470722E0-AACD-4C17-9CDC-17EF765DBC7E}">
      <x15:slicerCacheHideItemsWithNoData count="1">
        <x15:slicerCacheOlapLevelName uniqueName="[Raw Data].[Order Date (Month)].[Order Date (Month)]" count="1"/>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CCA64C2-7B24-4C97-B701-4A9EC52B339E}" sourceName="[Product].[Product Category]">
  <pivotTables>
    <pivotTable tabId="1" name="PivotTable2"/>
  </pivotTables>
  <data>
    <olap pivotCacheId="1724647774">
      <levels count="2">
        <level uniqueName="[Product].[Product Category].[(All)]" sourceCaption="(All)" count="0"/>
        <level uniqueName="[Product].[Product Category].[Product Category]" sourceCaption="Product Category" count="4">
          <ranges>
            <range startItem="0">
              <i n="[Product].[Product Category].&amp;[Furniture]" c="Furniture"/>
              <i n="[Product].[Product Category].&amp;[Office Supplies]" c="Office Supplies"/>
              <i n="[Product].[Product Category].&amp;[Technology]" c="Technology"/>
              <i n="[Product].[Product Category].&amp;" c="(blank)" nd="1"/>
            </range>
          </ranges>
        </level>
      </levels>
      <selections count="1">
        <selection n="[Product].[Product Category].[All]"/>
      </selections>
    </olap>
  </data>
  <extLst>
    <x:ext xmlns:x15="http://schemas.microsoft.com/office/spreadsheetml/2010/11/main" uri="{470722E0-AACD-4C17-9CDC-17EF765DBC7E}">
      <x15:slicerCacheHideItemsWithNoData count="1">
        <x15:slicerCacheOlapLevelName uniqueName="[Product].[Product Category].[Product 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A8D70FB-B7E8-4BA3-A89C-C16E5234AA94}" cache="Slicer_City" caption="City" level="1" rowHeight="257175"/>
  <slicer name="Ship Mode" xr10:uid="{EE49A828-4846-4106-A09E-260163A8D844}" cache="Slicer_Ship_Mode" caption="Ship Mode" level="1" rowHeight="257175"/>
  <slicer name="Customer Type" xr10:uid="{9904BA35-7AB1-4718-B769-A43AB93A947D}" cache="Slicer_Customer_Type" caption="Customer Type" columnCount="2" level="1" rowHeight="257175"/>
  <slicer name="Product Container" xr10:uid="{D8CC3503-AA7B-49FD-BB0B-EA21AAAA0C05}" cache="Slicer_Product_Container" caption="Product Container" columnCount="2" level="1" rowHeight="257175"/>
  <slicer name="Order Date (Month)" xr10:uid="{3E609119-FFF9-44A9-BB2B-A3B72A1221B6}" cache="Slicer_Order_Date__Month" caption="Order Date (Month)" columnCount="4" level="1" rowHeight="257175"/>
  <slicer name="Product Category" xr10:uid="{3702B790-50DA-4166-8F82-C7ABAA748D64}" cache="Slicer_Product_Category" caption="Product Category"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2507-E06F-4EF5-B0B1-AC2B8796CEFD}">
  <dimension ref="A1:C69"/>
  <sheetViews>
    <sheetView zoomScale="115" zoomScaleNormal="115" workbookViewId="0">
      <selection activeCell="D76" sqref="D76"/>
    </sheetView>
  </sheetViews>
  <sheetFormatPr defaultRowHeight="15" x14ac:dyDescent="0.25"/>
  <cols>
    <col min="1" max="1" width="19" bestFit="1" customWidth="1"/>
    <col min="2" max="2" width="17.28515625" bestFit="1" customWidth="1"/>
    <col min="3" max="3" width="12.42578125" bestFit="1" customWidth="1"/>
    <col min="4" max="4" width="14.42578125" bestFit="1" customWidth="1"/>
    <col min="5" max="7" width="20" bestFit="1" customWidth="1"/>
    <col min="8" max="11" width="17.7109375" bestFit="1" customWidth="1"/>
  </cols>
  <sheetData>
    <row r="1" spans="1:3" x14ac:dyDescent="0.25">
      <c r="A1" s="1" t="s">
        <v>4</v>
      </c>
      <c r="B1" t="s">
        <v>6</v>
      </c>
      <c r="C1" t="s">
        <v>7</v>
      </c>
    </row>
    <row r="2" spans="1:3" x14ac:dyDescent="0.25">
      <c r="A2" t="s">
        <v>1</v>
      </c>
      <c r="B2" s="6">
        <v>593269500</v>
      </c>
      <c r="C2" s="2">
        <v>0.43894834319371645</v>
      </c>
    </row>
    <row r="3" spans="1:3" x14ac:dyDescent="0.25">
      <c r="A3" t="s">
        <v>2</v>
      </c>
      <c r="B3" s="6">
        <v>2078632639.5</v>
      </c>
      <c r="C3" s="2">
        <v>0.48417219450950416</v>
      </c>
    </row>
    <row r="4" spans="1:3" x14ac:dyDescent="0.25">
      <c r="A4" t="s">
        <v>3</v>
      </c>
      <c r="B4" s="6">
        <v>5817753898.5</v>
      </c>
      <c r="C4" s="2">
        <v>0.49174223523134197</v>
      </c>
    </row>
    <row r="5" spans="1:3" x14ac:dyDescent="0.25">
      <c r="A5" t="s">
        <v>0</v>
      </c>
      <c r="B5" s="6">
        <v>8489656038</v>
      </c>
      <c r="C5" s="2">
        <v>0.48579944226817751</v>
      </c>
    </row>
    <row r="8" spans="1:3" x14ac:dyDescent="0.25">
      <c r="A8" s="1" t="s">
        <v>8</v>
      </c>
    </row>
    <row r="9" spans="1:3" x14ac:dyDescent="0.25">
      <c r="A9" t="s">
        <v>5</v>
      </c>
      <c r="B9" s="6">
        <v>17475639738</v>
      </c>
    </row>
    <row r="10" spans="1:3" x14ac:dyDescent="0.25">
      <c r="A10" t="s">
        <v>6</v>
      </c>
      <c r="B10" s="6">
        <v>8489656038</v>
      </c>
    </row>
    <row r="11" spans="1:3" x14ac:dyDescent="0.25">
      <c r="A11" t="s">
        <v>9</v>
      </c>
      <c r="B11" s="3">
        <v>26019</v>
      </c>
    </row>
    <row r="12" spans="1:3" x14ac:dyDescent="0.25">
      <c r="A12" t="s">
        <v>7</v>
      </c>
      <c r="B12" s="2">
        <v>0.48579944226817751</v>
      </c>
    </row>
    <row r="13" spans="1:3" x14ac:dyDescent="0.25">
      <c r="A13" t="s">
        <v>23</v>
      </c>
      <c r="B13" s="7">
        <v>26.018999999999998</v>
      </c>
    </row>
    <row r="15" spans="1:3" x14ac:dyDescent="0.25">
      <c r="A15" s="1" t="s">
        <v>10</v>
      </c>
      <c r="B15" t="s">
        <v>6</v>
      </c>
      <c r="C15" t="s">
        <v>7</v>
      </c>
    </row>
    <row r="16" spans="1:3" x14ac:dyDescent="0.25">
      <c r="A16" t="s">
        <v>11</v>
      </c>
      <c r="B16" s="6">
        <v>670084500</v>
      </c>
      <c r="C16" s="2">
        <v>0.50772556680884595</v>
      </c>
    </row>
    <row r="17" spans="1:3" x14ac:dyDescent="0.25">
      <c r="A17" t="s">
        <v>12</v>
      </c>
      <c r="B17" s="6">
        <v>621006163.5</v>
      </c>
      <c r="C17" s="2">
        <v>0.46427569092455301</v>
      </c>
    </row>
    <row r="18" spans="1:3" x14ac:dyDescent="0.25">
      <c r="A18" t="s">
        <v>13</v>
      </c>
      <c r="B18" s="6">
        <v>748612774.5</v>
      </c>
      <c r="C18" s="2">
        <v>0.54983072650794229</v>
      </c>
    </row>
    <row r="19" spans="1:3" x14ac:dyDescent="0.25">
      <c r="A19" t="s">
        <v>14</v>
      </c>
      <c r="B19" s="6">
        <v>530776950</v>
      </c>
      <c r="C19" s="2">
        <v>0.48837705523726399</v>
      </c>
    </row>
    <row r="20" spans="1:3" x14ac:dyDescent="0.25">
      <c r="A20" t="s">
        <v>15</v>
      </c>
      <c r="B20" s="6">
        <v>1014121648.5</v>
      </c>
      <c r="C20" s="2">
        <v>0.47063774587568757</v>
      </c>
    </row>
    <row r="21" spans="1:3" x14ac:dyDescent="0.25">
      <c r="A21" t="s">
        <v>16</v>
      </c>
      <c r="B21" s="6">
        <v>402586141.5</v>
      </c>
      <c r="C21" s="2">
        <v>0.47159297842129033</v>
      </c>
    </row>
    <row r="22" spans="1:3" x14ac:dyDescent="0.25">
      <c r="A22" t="s">
        <v>17</v>
      </c>
      <c r="B22" s="6">
        <v>730954500</v>
      </c>
      <c r="C22" s="2">
        <v>0.46360830410310327</v>
      </c>
    </row>
    <row r="23" spans="1:3" x14ac:dyDescent="0.25">
      <c r="A23" t="s">
        <v>18</v>
      </c>
      <c r="B23" s="6">
        <v>685388959.5</v>
      </c>
      <c r="C23" s="2">
        <v>0.45224761926368862</v>
      </c>
    </row>
    <row r="24" spans="1:3" x14ac:dyDescent="0.25">
      <c r="A24" t="s">
        <v>19</v>
      </c>
      <c r="B24" s="6">
        <v>1148065438.5</v>
      </c>
      <c r="C24" s="2">
        <v>0.50063102699222317</v>
      </c>
    </row>
    <row r="25" spans="1:3" x14ac:dyDescent="0.25">
      <c r="A25" t="s">
        <v>20</v>
      </c>
      <c r="B25" s="6">
        <v>277699212</v>
      </c>
      <c r="C25" s="2">
        <v>0.47317381574694278</v>
      </c>
    </row>
    <row r="26" spans="1:3" x14ac:dyDescent="0.25">
      <c r="A26" t="s">
        <v>21</v>
      </c>
      <c r="B26" s="6">
        <v>903732450</v>
      </c>
      <c r="C26" s="2">
        <v>0.47222887579285044</v>
      </c>
    </row>
    <row r="27" spans="1:3" x14ac:dyDescent="0.25">
      <c r="A27" t="s">
        <v>22</v>
      </c>
      <c r="B27" s="6">
        <v>756627300</v>
      </c>
      <c r="C27" s="2">
        <v>0.51282405289827149</v>
      </c>
    </row>
    <row r="30" spans="1:3" x14ac:dyDescent="0.25">
      <c r="A30" s="1" t="s">
        <v>24</v>
      </c>
      <c r="B30" t="s">
        <v>5</v>
      </c>
    </row>
    <row r="31" spans="1:3" x14ac:dyDescent="0.25">
      <c r="A31" t="s">
        <v>25</v>
      </c>
      <c r="B31" s="6">
        <v>3987507916.5</v>
      </c>
    </row>
    <row r="32" spans="1:3" x14ac:dyDescent="0.25">
      <c r="A32" t="s">
        <v>26</v>
      </c>
      <c r="B32" s="6">
        <v>6574608043.5</v>
      </c>
    </row>
    <row r="33" spans="1:2" x14ac:dyDescent="0.25">
      <c r="A33" t="s">
        <v>27</v>
      </c>
      <c r="B33" s="6">
        <v>3685299586.5</v>
      </c>
    </row>
    <row r="34" spans="1:2" x14ac:dyDescent="0.25">
      <c r="A34" t="s">
        <v>28</v>
      </c>
      <c r="B34" s="6">
        <v>3228224191.5</v>
      </c>
    </row>
    <row r="36" spans="1:2" x14ac:dyDescent="0.25">
      <c r="A36" s="1" t="s">
        <v>29</v>
      </c>
      <c r="B36" t="s">
        <v>5</v>
      </c>
    </row>
    <row r="37" spans="1:2" x14ac:dyDescent="0.25">
      <c r="A37" t="s">
        <v>38</v>
      </c>
      <c r="B37" s="6">
        <v>398611799.99999994</v>
      </c>
    </row>
    <row r="38" spans="1:2" x14ac:dyDescent="0.25">
      <c r="A38" t="s">
        <v>30</v>
      </c>
      <c r="B38" s="6">
        <v>997219200</v>
      </c>
    </row>
    <row r="39" spans="1:2" x14ac:dyDescent="0.25">
      <c r="A39" t="s">
        <v>31</v>
      </c>
      <c r="B39" s="6">
        <v>3199428900</v>
      </c>
    </row>
    <row r="40" spans="1:2" x14ac:dyDescent="0.25">
      <c r="A40" t="s">
        <v>32</v>
      </c>
      <c r="B40" s="6">
        <v>542723400</v>
      </c>
    </row>
    <row r="41" spans="1:2" x14ac:dyDescent="0.25">
      <c r="A41" t="s">
        <v>33</v>
      </c>
      <c r="B41" s="6">
        <v>423738000</v>
      </c>
    </row>
    <row r="42" spans="1:2" x14ac:dyDescent="0.25">
      <c r="A42" t="s">
        <v>39</v>
      </c>
      <c r="B42" s="6">
        <v>361557000</v>
      </c>
    </row>
    <row r="43" spans="1:2" x14ac:dyDescent="0.25">
      <c r="A43" t="s">
        <v>34</v>
      </c>
      <c r="B43" s="6">
        <v>1052037000</v>
      </c>
    </row>
    <row r="44" spans="1:2" x14ac:dyDescent="0.25">
      <c r="A44" t="s">
        <v>35</v>
      </c>
      <c r="B44" s="6">
        <v>3005949900</v>
      </c>
    </row>
    <row r="45" spans="1:2" x14ac:dyDescent="0.25">
      <c r="A45" t="s">
        <v>36</v>
      </c>
      <c r="B45" s="6">
        <v>676974150</v>
      </c>
    </row>
    <row r="46" spans="1:2" x14ac:dyDescent="0.25">
      <c r="A46" t="s">
        <v>37</v>
      </c>
      <c r="B46" s="6">
        <v>862279050</v>
      </c>
    </row>
    <row r="49" spans="1:2" x14ac:dyDescent="0.25">
      <c r="A49" s="1" t="s">
        <v>40</v>
      </c>
      <c r="B49" t="s">
        <v>5</v>
      </c>
    </row>
    <row r="50" spans="1:2" x14ac:dyDescent="0.25">
      <c r="A50" t="s">
        <v>44</v>
      </c>
      <c r="B50" s="6">
        <v>964569012</v>
      </c>
    </row>
    <row r="51" spans="1:2" x14ac:dyDescent="0.25">
      <c r="A51" t="s">
        <v>43</v>
      </c>
      <c r="B51" s="6">
        <v>1159924350</v>
      </c>
    </row>
    <row r="52" spans="1:2" x14ac:dyDescent="0.25">
      <c r="A52" t="s">
        <v>51</v>
      </c>
      <c r="B52" s="6">
        <v>865563900</v>
      </c>
    </row>
    <row r="53" spans="1:2" x14ac:dyDescent="0.25">
      <c r="A53" t="s">
        <v>48</v>
      </c>
      <c r="B53" s="6">
        <v>101908336.5</v>
      </c>
    </row>
    <row r="54" spans="1:2" x14ac:dyDescent="0.25">
      <c r="A54" t="s">
        <v>41</v>
      </c>
      <c r="B54" s="6">
        <v>2300370991.5</v>
      </c>
    </row>
    <row r="55" spans="1:2" x14ac:dyDescent="0.25">
      <c r="A55" t="s">
        <v>49</v>
      </c>
      <c r="B55" s="6">
        <v>1869710359.5</v>
      </c>
    </row>
    <row r="56" spans="1:2" x14ac:dyDescent="0.25">
      <c r="A56" t="s">
        <v>42</v>
      </c>
      <c r="B56" s="6">
        <v>1992797148</v>
      </c>
    </row>
    <row r="57" spans="1:2" x14ac:dyDescent="0.25">
      <c r="A57" t="s">
        <v>52</v>
      </c>
      <c r="B57" s="6">
        <v>1334944422</v>
      </c>
    </row>
    <row r="58" spans="1:2" x14ac:dyDescent="0.25">
      <c r="A58" t="s">
        <v>47</v>
      </c>
      <c r="B58" s="6">
        <v>1274704800</v>
      </c>
    </row>
    <row r="59" spans="1:2" x14ac:dyDescent="0.25">
      <c r="A59" t="s">
        <v>46</v>
      </c>
      <c r="B59" s="6">
        <v>1892846674.5</v>
      </c>
    </row>
    <row r="60" spans="1:2" x14ac:dyDescent="0.25">
      <c r="A60" t="s">
        <v>50</v>
      </c>
      <c r="B60" s="6">
        <v>1075879500</v>
      </c>
    </row>
    <row r="61" spans="1:2" x14ac:dyDescent="0.25">
      <c r="A61" t="s">
        <v>54</v>
      </c>
      <c r="B61" s="6">
        <v>1139425050</v>
      </c>
    </row>
    <row r="62" spans="1:2" x14ac:dyDescent="0.25">
      <c r="A62" t="s">
        <v>53</v>
      </c>
      <c r="B62" s="6">
        <v>264814800</v>
      </c>
    </row>
    <row r="63" spans="1:2" x14ac:dyDescent="0.25">
      <c r="A63" t="s">
        <v>45</v>
      </c>
      <c r="B63" s="6">
        <v>1238180394</v>
      </c>
    </row>
    <row r="66" spans="1:2" x14ac:dyDescent="0.25">
      <c r="A66" s="1" t="s">
        <v>55</v>
      </c>
      <c r="B66" t="s">
        <v>5</v>
      </c>
    </row>
    <row r="67" spans="1:2" x14ac:dyDescent="0.25">
      <c r="A67" t="s">
        <v>56</v>
      </c>
      <c r="B67" s="6">
        <v>471254400</v>
      </c>
    </row>
    <row r="68" spans="1:2" x14ac:dyDescent="0.25">
      <c r="A68" t="s">
        <v>57</v>
      </c>
      <c r="B68" s="6">
        <v>4942431300</v>
      </c>
    </row>
    <row r="69" spans="1:2" x14ac:dyDescent="0.25">
      <c r="A69" t="s">
        <v>58</v>
      </c>
      <c r="B69" s="6">
        <v>12061954038</v>
      </c>
    </row>
  </sheetData>
  <conditionalFormatting sqref="A47:B48 A37:A46 A95:B183 A54:A65 A71:A94">
    <cfRule type="top10" dxfId="0" priority="1" rank="1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182E-576C-4E33-AE1D-C286F30B3720}">
  <dimension ref="A1:AC98"/>
  <sheetViews>
    <sheetView showGridLines="0" tabSelected="1" topLeftCell="A17" zoomScale="50" zoomScaleNormal="100" workbookViewId="0">
      <selection activeCell="AD14" sqref="AD14"/>
    </sheetView>
  </sheetViews>
  <sheetFormatPr defaultRowHeight="15" x14ac:dyDescent="0.25"/>
  <sheetData>
    <row r="1" spans="1:28" x14ac:dyDescent="0.25">
      <c r="A1" s="4"/>
      <c r="B1" s="4"/>
      <c r="C1" s="4"/>
      <c r="D1" s="4"/>
      <c r="E1" s="4"/>
      <c r="F1" s="4"/>
      <c r="G1" s="4"/>
      <c r="H1" s="4"/>
      <c r="I1" s="4"/>
      <c r="J1" s="4"/>
      <c r="K1" s="4"/>
      <c r="L1" s="4"/>
      <c r="M1" s="4"/>
      <c r="N1" s="4"/>
      <c r="O1" s="4"/>
      <c r="P1" s="4"/>
      <c r="Q1" s="4"/>
      <c r="R1" s="4"/>
      <c r="S1" s="4"/>
      <c r="T1" s="4"/>
      <c r="U1" s="4"/>
      <c r="V1" s="4"/>
      <c r="W1" s="4"/>
      <c r="X1" s="4"/>
      <c r="Y1" s="4"/>
      <c r="Z1" s="4"/>
      <c r="AA1" s="5"/>
      <c r="AB1" s="5"/>
    </row>
    <row r="2" spans="1:28" x14ac:dyDescent="0.25">
      <c r="A2" s="4"/>
      <c r="B2" s="4"/>
      <c r="C2" s="4"/>
      <c r="D2" s="4"/>
      <c r="E2" s="4"/>
      <c r="F2" s="4"/>
      <c r="G2" s="4"/>
      <c r="H2" s="4"/>
      <c r="I2" s="4"/>
      <c r="J2" s="4"/>
      <c r="K2" s="4"/>
      <c r="L2" s="4"/>
      <c r="M2" s="4"/>
      <c r="N2" s="4"/>
      <c r="O2" s="4"/>
      <c r="P2" s="4"/>
      <c r="Q2" s="4"/>
      <c r="R2" s="4"/>
      <c r="S2" s="4"/>
      <c r="T2" s="4"/>
      <c r="U2" s="4"/>
      <c r="V2" s="4"/>
      <c r="W2" s="4"/>
      <c r="X2" s="4"/>
      <c r="Y2" s="4"/>
      <c r="Z2" s="4"/>
      <c r="AA2" s="5"/>
      <c r="AB2" s="5"/>
    </row>
    <row r="3" spans="1:28" x14ac:dyDescent="0.25">
      <c r="A3" s="4"/>
      <c r="B3" s="4"/>
      <c r="C3" s="4"/>
      <c r="D3" s="4"/>
      <c r="E3" s="4"/>
      <c r="F3" s="4"/>
      <c r="G3" s="4"/>
      <c r="H3" s="4"/>
      <c r="I3" s="4"/>
      <c r="J3" s="4"/>
      <c r="K3" s="4"/>
      <c r="L3" s="4"/>
      <c r="M3" s="4"/>
      <c r="N3" s="4"/>
      <c r="O3" s="4"/>
      <c r="P3" s="4"/>
      <c r="Q3" s="4"/>
      <c r="R3" s="4"/>
      <c r="S3" s="4"/>
      <c r="T3" s="4"/>
      <c r="U3" s="4"/>
      <c r="V3" s="4"/>
      <c r="W3" s="4"/>
      <c r="X3" s="4"/>
      <c r="Y3" s="4"/>
      <c r="Z3" s="4"/>
      <c r="AA3" s="5"/>
      <c r="AB3" s="5"/>
    </row>
    <row r="4" spans="1:28" x14ac:dyDescent="0.25">
      <c r="A4" s="4"/>
      <c r="B4" s="4"/>
      <c r="C4" s="4"/>
      <c r="D4" s="4"/>
      <c r="E4" s="4"/>
      <c r="F4" s="4"/>
      <c r="G4" s="4"/>
      <c r="H4" s="4"/>
      <c r="I4" s="4"/>
      <c r="J4" s="4"/>
      <c r="K4" s="4"/>
      <c r="L4" s="4"/>
      <c r="M4" s="4"/>
      <c r="N4" s="4"/>
      <c r="O4" s="4"/>
      <c r="P4" s="4"/>
      <c r="Q4" s="4"/>
      <c r="R4" s="4"/>
      <c r="S4" s="4"/>
      <c r="T4" s="4"/>
      <c r="U4" s="4"/>
      <c r="V4" s="4"/>
      <c r="W4" s="4"/>
      <c r="X4" s="4"/>
      <c r="Y4" s="4"/>
      <c r="Z4" s="4"/>
      <c r="AA4" s="5"/>
      <c r="AB4" s="5"/>
    </row>
    <row r="5" spans="1:28" x14ac:dyDescent="0.25">
      <c r="A5" s="4"/>
      <c r="B5" s="4"/>
      <c r="C5" s="4"/>
      <c r="D5" s="4"/>
      <c r="E5" s="4"/>
      <c r="F5" s="4"/>
      <c r="G5" s="4"/>
      <c r="H5" s="4"/>
      <c r="I5" s="4"/>
      <c r="J5" s="4"/>
      <c r="K5" s="4"/>
      <c r="L5" s="4"/>
      <c r="M5" s="4"/>
      <c r="N5" s="4"/>
      <c r="O5" s="4"/>
      <c r="P5" s="4"/>
      <c r="Q5" s="4"/>
      <c r="R5" s="4"/>
      <c r="S5" s="4"/>
      <c r="T5" s="4"/>
      <c r="U5" s="4"/>
      <c r="V5" s="4"/>
      <c r="W5" s="4"/>
      <c r="X5" s="4"/>
      <c r="Y5" s="4"/>
      <c r="Z5" s="4"/>
      <c r="AA5" s="5"/>
      <c r="AB5" s="5"/>
    </row>
    <row r="6" spans="1:28" x14ac:dyDescent="0.25">
      <c r="A6" s="4"/>
      <c r="B6" s="4"/>
      <c r="C6" s="4"/>
      <c r="D6" s="4"/>
      <c r="E6" s="4"/>
      <c r="F6" s="4"/>
      <c r="G6" s="4"/>
      <c r="H6" s="4"/>
      <c r="I6" s="4"/>
      <c r="J6" s="4"/>
      <c r="K6" s="4"/>
      <c r="L6" s="4"/>
      <c r="M6" s="4"/>
      <c r="N6" s="4"/>
      <c r="O6" s="4"/>
      <c r="P6" s="4"/>
      <c r="Q6" s="4"/>
      <c r="R6" s="4"/>
      <c r="S6" s="4"/>
      <c r="T6" s="4"/>
      <c r="U6" s="4"/>
      <c r="V6" s="4"/>
      <c r="W6" s="4"/>
      <c r="X6" s="4"/>
      <c r="Y6" s="4"/>
      <c r="Z6" s="4"/>
      <c r="AA6" s="5"/>
      <c r="AB6" s="5"/>
    </row>
    <row r="7" spans="1:28" x14ac:dyDescent="0.25">
      <c r="A7" s="4"/>
      <c r="B7" s="4"/>
      <c r="C7" s="4"/>
      <c r="D7" s="4"/>
      <c r="E7" s="4"/>
      <c r="F7" s="4"/>
      <c r="G7" s="4"/>
      <c r="H7" s="4"/>
      <c r="I7" s="4"/>
      <c r="J7" s="4"/>
      <c r="K7" s="4"/>
      <c r="L7" s="4"/>
      <c r="M7" s="4"/>
      <c r="N7" s="4"/>
      <c r="O7" s="4"/>
      <c r="P7" s="4"/>
      <c r="Q7" s="4"/>
      <c r="R7" s="4"/>
      <c r="S7" s="4"/>
      <c r="T7" s="4"/>
      <c r="U7" s="4"/>
      <c r="V7" s="4"/>
      <c r="W7" s="4"/>
      <c r="X7" s="4"/>
      <c r="Y7" s="4"/>
      <c r="Z7" s="4"/>
      <c r="AA7" s="5"/>
      <c r="AB7" s="5"/>
    </row>
    <row r="8" spans="1:28" x14ac:dyDescent="0.25">
      <c r="A8" s="4"/>
      <c r="B8" s="4"/>
      <c r="C8" s="4"/>
      <c r="D8" s="4"/>
      <c r="E8" s="4"/>
      <c r="F8" s="4"/>
      <c r="G8" s="4"/>
      <c r="H8" s="4"/>
      <c r="I8" s="4"/>
      <c r="J8" s="4"/>
      <c r="K8" s="4"/>
      <c r="L8" s="4"/>
      <c r="M8" s="4"/>
      <c r="N8" s="4"/>
      <c r="O8" s="4"/>
      <c r="P8" s="4"/>
      <c r="Q8" s="4"/>
      <c r="R8" s="4"/>
      <c r="S8" s="4"/>
      <c r="T8" s="4"/>
      <c r="U8" s="4"/>
      <c r="V8" s="4"/>
      <c r="W8" s="4"/>
      <c r="X8" s="4"/>
      <c r="Y8" s="4"/>
      <c r="Z8" s="4"/>
      <c r="AA8" s="5"/>
      <c r="AB8" s="5"/>
    </row>
    <row r="9" spans="1:28" x14ac:dyDescent="0.25">
      <c r="A9" s="4"/>
      <c r="B9" s="4"/>
      <c r="C9" s="4"/>
      <c r="D9" s="4"/>
      <c r="E9" s="4"/>
      <c r="F9" s="4"/>
      <c r="G9" s="4"/>
      <c r="H9" s="4"/>
      <c r="I9" s="4"/>
      <c r="J9" s="4"/>
      <c r="K9" s="4"/>
      <c r="L9" s="4"/>
      <c r="M9" s="4"/>
      <c r="N9" s="4"/>
      <c r="O9" s="4"/>
      <c r="P9" s="4"/>
      <c r="Q9" s="4"/>
      <c r="R9" s="4"/>
      <c r="S9" s="4"/>
      <c r="T9" s="4"/>
      <c r="U9" s="4"/>
      <c r="V9" s="4"/>
      <c r="W9" s="4"/>
      <c r="X9" s="4"/>
      <c r="Y9" s="4"/>
      <c r="Z9" s="4"/>
      <c r="AA9" s="5"/>
      <c r="AB9" s="5"/>
    </row>
    <row r="10" spans="1:28"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5"/>
      <c r="AB10" s="5"/>
    </row>
    <row r="11" spans="1:28"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5"/>
      <c r="AB11" s="5"/>
    </row>
    <row r="12" spans="1:28"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5"/>
      <c r="AB12" s="5"/>
    </row>
    <row r="13" spans="1:28"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5"/>
      <c r="AB13" s="5"/>
    </row>
    <row r="14" spans="1:28"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5"/>
      <c r="AB14" s="5"/>
    </row>
    <row r="15" spans="1:28"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5"/>
      <c r="AB15" s="5"/>
    </row>
    <row r="16" spans="1:28"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5"/>
      <c r="AB16" s="5"/>
    </row>
    <row r="17" spans="1:28"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5"/>
      <c r="AB17" s="5"/>
    </row>
    <row r="18" spans="1:28"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5"/>
      <c r="AB18" s="5"/>
    </row>
    <row r="19" spans="1:28"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5"/>
      <c r="AB19" s="5"/>
    </row>
    <row r="20" spans="1:28"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5"/>
      <c r="AB20" s="5"/>
    </row>
    <row r="21" spans="1:28"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5"/>
      <c r="AB21" s="5"/>
    </row>
    <row r="22" spans="1:28"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5"/>
      <c r="AB22" s="5"/>
    </row>
    <row r="23" spans="1:28"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5"/>
      <c r="AB23" s="5"/>
    </row>
    <row r="24" spans="1:28"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5"/>
      <c r="AB24" s="5"/>
    </row>
    <row r="25" spans="1:28"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5"/>
      <c r="AB25" s="5"/>
    </row>
    <row r="26" spans="1:28"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5"/>
      <c r="AB26" s="5"/>
    </row>
    <row r="27" spans="1:28"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5"/>
      <c r="AB27" s="5"/>
    </row>
    <row r="28" spans="1:28"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5"/>
      <c r="AB28" s="5"/>
    </row>
    <row r="29" spans="1:2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5"/>
      <c r="AB29" s="5"/>
    </row>
    <row r="30" spans="1:28"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5"/>
      <c r="AB30" s="5"/>
    </row>
    <row r="31" spans="1:28"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5"/>
      <c r="AB31" s="5"/>
    </row>
    <row r="32" spans="1:28"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5"/>
      <c r="AB32" s="5"/>
    </row>
    <row r="33" spans="1:28"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5"/>
      <c r="AB33" s="5"/>
    </row>
    <row r="34" spans="1:2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5"/>
      <c r="AB34" s="5"/>
    </row>
    <row r="35" spans="1:2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5"/>
      <c r="AB35" s="5"/>
    </row>
    <row r="36" spans="1:2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5"/>
      <c r="AB36" s="5"/>
    </row>
    <row r="37" spans="1:2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5"/>
      <c r="AB37" s="5"/>
    </row>
    <row r="38" spans="1:28"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5"/>
      <c r="AB38" s="5"/>
    </row>
    <row r="39" spans="1:2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5"/>
      <c r="AB39" s="5"/>
    </row>
    <row r="40" spans="1:28"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5"/>
      <c r="AB40" s="5"/>
    </row>
    <row r="41" spans="1:2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5"/>
      <c r="AB41" s="5"/>
    </row>
    <row r="42" spans="1:2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5"/>
      <c r="AB42" s="5"/>
    </row>
    <row r="43" spans="1:28"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5"/>
      <c r="AB43" s="5"/>
    </row>
    <row r="44" spans="1:2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5"/>
      <c r="AB44" s="5"/>
    </row>
    <row r="45" spans="1:28"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5"/>
      <c r="AB45" s="5"/>
    </row>
    <row r="46" spans="1:2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5"/>
      <c r="AB46" s="5"/>
    </row>
    <row r="47" spans="1:2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5"/>
      <c r="AB47" s="5"/>
    </row>
    <row r="48" spans="1:28"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5"/>
      <c r="AB48" s="5"/>
    </row>
    <row r="49" spans="1:28" x14ac:dyDescent="0.25">
      <c r="A49" s="4"/>
      <c r="B49" s="4"/>
      <c r="C49" s="4"/>
      <c r="D49" s="4"/>
      <c r="E49" s="4"/>
      <c r="F49" s="4"/>
      <c r="G49" s="4"/>
      <c r="H49" s="4"/>
      <c r="I49" s="4"/>
      <c r="J49" s="4"/>
      <c r="K49" s="4"/>
      <c r="L49" s="4"/>
      <c r="M49" s="4"/>
      <c r="N49" s="4"/>
      <c r="O49" s="4"/>
      <c r="P49" s="4"/>
      <c r="Q49" s="4"/>
      <c r="R49" s="4"/>
      <c r="S49" s="4"/>
      <c r="T49" s="4"/>
      <c r="U49" s="4"/>
      <c r="V49" s="4"/>
      <c r="W49" s="4"/>
      <c r="X49" s="4"/>
      <c r="Y49" s="4"/>
      <c r="Z49" s="4"/>
      <c r="AA49" s="5"/>
      <c r="AB49" s="5"/>
    </row>
    <row r="50" spans="1:28" x14ac:dyDescent="0.25">
      <c r="A50" s="4"/>
      <c r="B50" s="4"/>
      <c r="C50" s="4"/>
      <c r="D50" s="4"/>
      <c r="E50" s="4"/>
      <c r="F50" s="4"/>
      <c r="G50" s="4"/>
      <c r="H50" s="4"/>
      <c r="I50" s="4"/>
      <c r="J50" s="4"/>
      <c r="K50" s="4"/>
      <c r="L50" s="4"/>
      <c r="M50" s="4"/>
      <c r="N50" s="4"/>
      <c r="O50" s="4"/>
      <c r="P50" s="4"/>
      <c r="Q50" s="4"/>
      <c r="R50" s="4"/>
      <c r="S50" s="4"/>
      <c r="T50" s="4"/>
      <c r="U50" s="4"/>
      <c r="V50" s="4"/>
      <c r="W50" s="4"/>
      <c r="X50" s="4"/>
      <c r="Y50" s="4"/>
      <c r="Z50" s="4"/>
      <c r="AA50" s="5"/>
      <c r="AB50" s="5"/>
    </row>
    <row r="51" spans="1:2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c r="AA51" s="5"/>
      <c r="AB51" s="5"/>
    </row>
    <row r="52" spans="1:2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5"/>
      <c r="AB52" s="5"/>
    </row>
    <row r="53" spans="1:2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5"/>
      <c r="AB53" s="5"/>
    </row>
    <row r="54" spans="1:2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5"/>
      <c r="AB54" s="5"/>
    </row>
    <row r="55" spans="1:2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5"/>
      <c r="AB55" s="5"/>
    </row>
    <row r="56" spans="1:2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5"/>
      <c r="AB56" s="5"/>
    </row>
    <row r="57" spans="1:2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5"/>
      <c r="AB57" s="5"/>
    </row>
    <row r="58" spans="1:2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5"/>
      <c r="AB58" s="5"/>
    </row>
    <row r="59" spans="1:2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5"/>
      <c r="AB59" s="5"/>
    </row>
    <row r="60" spans="1:2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5"/>
      <c r="AB60" s="5"/>
    </row>
    <row r="61" spans="1:2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5"/>
      <c r="AB61" s="5"/>
    </row>
    <row r="62" spans="1:2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5"/>
      <c r="AB62" s="5"/>
    </row>
    <row r="63" spans="1:2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5"/>
      <c r="AB63" s="5"/>
    </row>
    <row r="64" spans="1:2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5"/>
      <c r="AB64" s="5"/>
    </row>
    <row r="65" spans="1:29"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5"/>
      <c r="AB65" s="5"/>
    </row>
    <row r="66" spans="1:29"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5"/>
      <c r="AB66" s="5"/>
    </row>
    <row r="67" spans="1:29"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5"/>
      <c r="AB67" s="5"/>
    </row>
    <row r="68" spans="1:29"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5"/>
      <c r="AB68" s="5"/>
    </row>
    <row r="69" spans="1:29"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5"/>
      <c r="AB69" s="5"/>
    </row>
    <row r="70" spans="1:29"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5"/>
      <c r="AB70" s="5"/>
    </row>
    <row r="71" spans="1:29"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5"/>
      <c r="AB71" s="5"/>
    </row>
    <row r="72" spans="1:29"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5"/>
      <c r="AB72" s="5"/>
    </row>
    <row r="73" spans="1:29"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5"/>
      <c r="AB73" s="5"/>
    </row>
    <row r="74" spans="1:29"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5"/>
      <c r="AB74" s="5"/>
    </row>
    <row r="75" spans="1:29"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spans="1:29"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spans="1:29"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spans="1:29"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spans="1:29"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spans="1:29"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spans="1:29"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spans="1:29"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spans="1:29"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spans="1:29"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spans="1:29"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spans="1:29"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spans="1:29"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spans="1:29"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spans="1:29"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spans="1:29"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spans="1:29"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spans="1:29"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spans="1:29"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spans="1:29"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spans="1:29"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spans="1:29"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spans="1:29"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spans="1:29"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0B814833-43F9-4F47-961A-D8E9F7BC756F}">
  <ds:schemaRefs/>
</ds:datastoreItem>
</file>

<file path=customXml/itemProps2.xml><?xml version="1.0" encoding="utf-8"?>
<ds:datastoreItem xmlns:ds="http://schemas.openxmlformats.org/officeDocument/2006/customXml" ds:itemID="{C76B4E43-2217-4F34-A166-29B26566D343}">
  <ds:schemaRefs/>
</ds:datastoreItem>
</file>

<file path=customXml/itemProps3.xml><?xml version="1.0" encoding="utf-8"?>
<ds:datastoreItem xmlns:ds="http://schemas.openxmlformats.org/officeDocument/2006/customXml" ds:itemID="{0BC570D2-BA91-4701-8693-6E0CFD99A150}">
  <ds:schemaRefs/>
</ds:datastoreItem>
</file>

<file path=customXml/itemProps4.xml><?xml version="1.0" encoding="utf-8"?>
<ds:datastoreItem xmlns:ds="http://schemas.openxmlformats.org/officeDocument/2006/customXml" ds:itemID="{E01907E0-FC5F-478F-9621-CDF415A34265}">
  <ds:schemaRefs/>
</ds:datastoreItem>
</file>

<file path=customXml/itemProps5.xml><?xml version="1.0" encoding="utf-8"?>
<ds:datastoreItem xmlns:ds="http://schemas.openxmlformats.org/officeDocument/2006/customXml" ds:itemID="{1CF06F2C-23ED-47B2-ABA5-D2E707803FA3}">
  <ds:schemaRefs/>
</ds:datastoreItem>
</file>

<file path=customXml/itemProps6.xml><?xml version="1.0" encoding="utf-8"?>
<ds:datastoreItem xmlns:ds="http://schemas.openxmlformats.org/officeDocument/2006/customXml" ds:itemID="{0A5CB800-86A3-42FC-B8C6-01F9E85DD573}">
  <ds:schemaRefs/>
</ds:datastoreItem>
</file>

<file path=customXml/itemProps7.xml><?xml version="1.0" encoding="utf-8"?>
<ds:datastoreItem xmlns:ds="http://schemas.openxmlformats.org/officeDocument/2006/customXml" ds:itemID="{C619715E-ABEB-45C1-B866-7C59A45E0608}">
  <ds:schemaRefs/>
</ds:datastoreItem>
</file>

<file path=customXml/itemProps8.xml><?xml version="1.0" encoding="utf-8"?>
<ds:datastoreItem xmlns:ds="http://schemas.openxmlformats.org/officeDocument/2006/customXml" ds:itemID="{74C2BDCF-0840-4228-84C8-A7E9154186D5}">
  <ds:schemaRefs/>
</ds:datastoreItem>
</file>

<file path=customXml/itemProps9.xml><?xml version="1.0" encoding="utf-8"?>
<ds:datastoreItem xmlns:ds="http://schemas.openxmlformats.org/officeDocument/2006/customXml" ds:itemID="{004F6F33-875F-4BE4-B844-CFF00A1E3DB4}">
  <ds:schemaRefs/>
</ds:datastoreItem>
</file>

<file path=customXml/itemProps10.xml><?xml version="1.0" encoding="utf-8"?>
<ds:datastoreItem xmlns:ds="http://schemas.openxmlformats.org/officeDocument/2006/customXml" ds:itemID="{F1326080-492B-4B52-9C06-4CE69AF07E69}">
  <ds:schemaRefs/>
</ds:datastoreItem>
</file>

<file path=customXml/itemProps11.xml><?xml version="1.0" encoding="utf-8"?>
<ds:datastoreItem xmlns:ds="http://schemas.openxmlformats.org/officeDocument/2006/customXml" ds:itemID="{A79DA5D5-E43A-4DE8-BD1A-15A0FB857211}">
  <ds:schemaRefs/>
</ds:datastoreItem>
</file>

<file path=customXml/itemProps12.xml><?xml version="1.0" encoding="utf-8"?>
<ds:datastoreItem xmlns:ds="http://schemas.openxmlformats.org/officeDocument/2006/customXml" ds:itemID="{857AD7A9-5C69-4E95-A255-70122A82670D}">
  <ds:schemaRefs/>
</ds:datastoreItem>
</file>

<file path=customXml/itemProps13.xml><?xml version="1.0" encoding="utf-8"?>
<ds:datastoreItem xmlns:ds="http://schemas.openxmlformats.org/officeDocument/2006/customXml" ds:itemID="{8BDFA639-506B-46E0-89B0-D1FB490831D9}">
  <ds:schemaRefs/>
</ds:datastoreItem>
</file>

<file path=customXml/itemProps14.xml><?xml version="1.0" encoding="utf-8"?>
<ds:datastoreItem xmlns:ds="http://schemas.openxmlformats.org/officeDocument/2006/customXml" ds:itemID="{183AF855-0074-49AC-B467-C6F8532BECBE}">
  <ds:schemaRefs/>
</ds:datastoreItem>
</file>

<file path=customXml/itemProps15.xml><?xml version="1.0" encoding="utf-8"?>
<ds:datastoreItem xmlns:ds="http://schemas.openxmlformats.org/officeDocument/2006/customXml" ds:itemID="{64269E65-E617-4B33-A934-56098FFFFA2F}">
  <ds:schemaRefs/>
</ds:datastoreItem>
</file>

<file path=customXml/itemProps16.xml><?xml version="1.0" encoding="utf-8"?>
<ds:datastoreItem xmlns:ds="http://schemas.openxmlformats.org/officeDocument/2006/customXml" ds:itemID="{6B30FC5C-B8C3-4908-A8C7-5ADAEDC716C9}">
  <ds:schemaRefs/>
</ds:datastoreItem>
</file>

<file path=customXml/itemProps17.xml><?xml version="1.0" encoding="utf-8"?>
<ds:datastoreItem xmlns:ds="http://schemas.openxmlformats.org/officeDocument/2006/customXml" ds:itemID="{22EF863E-CBCB-492B-BFE6-CD205B1C8DB1}">
  <ds:schemaRefs/>
</ds:datastoreItem>
</file>

<file path=customXml/itemProps18.xml><?xml version="1.0" encoding="utf-8"?>
<ds:datastoreItem xmlns:ds="http://schemas.openxmlformats.org/officeDocument/2006/customXml" ds:itemID="{000769DD-3751-422A-9E2D-479C3A091FF7}">
  <ds:schemaRefs/>
</ds:datastoreItem>
</file>

<file path=customXml/itemProps19.xml><?xml version="1.0" encoding="utf-8"?>
<ds:datastoreItem xmlns:ds="http://schemas.openxmlformats.org/officeDocument/2006/customXml" ds:itemID="{975C4F75-A9EB-45D7-97D5-A1CC6D038994}">
  <ds:schemaRefs/>
</ds:datastoreItem>
</file>

<file path=customXml/itemProps20.xml><?xml version="1.0" encoding="utf-8"?>
<ds:datastoreItem xmlns:ds="http://schemas.openxmlformats.org/officeDocument/2006/customXml" ds:itemID="{2CF44E9D-42B7-415B-A820-6EAFA06834CD}">
  <ds:schemaRefs/>
</ds:datastoreItem>
</file>

<file path=customXml/itemProps21.xml><?xml version="1.0" encoding="utf-8"?>
<ds:datastoreItem xmlns:ds="http://schemas.openxmlformats.org/officeDocument/2006/customXml" ds:itemID="{7A68D99C-E02B-4CDE-BA5C-1B3823F3646C}">
  <ds:schemaRefs/>
</ds:datastoreItem>
</file>

<file path=customXml/itemProps22.xml><?xml version="1.0" encoding="utf-8"?>
<ds:datastoreItem xmlns:ds="http://schemas.openxmlformats.org/officeDocument/2006/customXml" ds:itemID="{62F58426-D2F4-419D-B923-7242ED13E7AC}">
  <ds:schemaRefs/>
</ds:datastoreItem>
</file>

<file path=customXml/itemProps23.xml><?xml version="1.0" encoding="utf-8"?>
<ds:datastoreItem xmlns:ds="http://schemas.openxmlformats.org/officeDocument/2006/customXml" ds:itemID="{6CF75336-244E-4DA3-94DD-3A8AE65DB246}">
  <ds:schemaRefs/>
</ds:datastoreItem>
</file>

<file path=customXml/itemProps24.xml><?xml version="1.0" encoding="utf-8"?>
<ds:datastoreItem xmlns:ds="http://schemas.openxmlformats.org/officeDocument/2006/customXml" ds:itemID="{090233BA-B47A-4BF2-881F-76BB53832D41}">
  <ds:schemaRefs/>
</ds:datastoreItem>
</file>

<file path=customXml/itemProps25.xml><?xml version="1.0" encoding="utf-8"?>
<ds:datastoreItem xmlns:ds="http://schemas.openxmlformats.org/officeDocument/2006/customXml" ds:itemID="{538CFCA0-A4D7-4C8F-9544-A66440EF2C03}">
  <ds:schemaRefs/>
</ds:datastoreItem>
</file>

<file path=customXml/itemProps26.xml><?xml version="1.0" encoding="utf-8"?>
<ds:datastoreItem xmlns:ds="http://schemas.openxmlformats.org/officeDocument/2006/customXml" ds:itemID="{5746E372-12EA-43F4-8092-D1C6CDF4E8EC}">
  <ds:schemaRefs/>
</ds:datastoreItem>
</file>

<file path=customXml/itemProps27.xml><?xml version="1.0" encoding="utf-8"?>
<ds:datastoreItem xmlns:ds="http://schemas.openxmlformats.org/officeDocument/2006/customXml" ds:itemID="{0B738CC0-98B8-43AD-9D67-612238566BF5}">
  <ds:schemaRefs/>
</ds:datastoreItem>
</file>

<file path=customXml/itemProps28.xml><?xml version="1.0" encoding="utf-8"?>
<ds:datastoreItem xmlns:ds="http://schemas.openxmlformats.org/officeDocument/2006/customXml" ds:itemID="{36AD07E6-A111-4A20-B9A1-1C8211147C72}">
  <ds:schemaRefs/>
</ds:datastoreItem>
</file>

<file path=customXml/itemProps29.xml><?xml version="1.0" encoding="utf-8"?>
<ds:datastoreItem xmlns:ds="http://schemas.openxmlformats.org/officeDocument/2006/customXml" ds:itemID="{77D79E1D-D3A4-44DF-A61D-1AA4981F0784}">
  <ds:schemaRefs/>
</ds:datastoreItem>
</file>

<file path=customXml/itemProps30.xml><?xml version="1.0" encoding="utf-8"?>
<ds:datastoreItem xmlns:ds="http://schemas.openxmlformats.org/officeDocument/2006/customXml" ds:itemID="{4A53D0EF-3A26-405B-A94A-A60388A76058}">
  <ds:schemaRefs/>
</ds:datastoreItem>
</file>

<file path=customXml/itemProps31.xml><?xml version="1.0" encoding="utf-8"?>
<ds:datastoreItem xmlns:ds="http://schemas.openxmlformats.org/officeDocument/2006/customXml" ds:itemID="{3BFFFEE4-48EF-4380-8868-BAE2713EDC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Free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Siti Nur Aisyah</dc:creator>
  <cp:lastModifiedBy>Siti Nur Aisyah</cp:lastModifiedBy>
  <dcterms:created xsi:type="dcterms:W3CDTF">2025-11-29T19:56:53Z</dcterms:created>
  <dcterms:modified xsi:type="dcterms:W3CDTF">2025-12-05T02:00:58Z</dcterms:modified>
</cp:coreProperties>
</file>